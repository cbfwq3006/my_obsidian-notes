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 activeTab="1"/>
  </bookViews>
  <sheets>
    <sheet name="需求统计表" sheetId="3" r:id="rId1"/>
    <sheet name="明细" sheetId="4" r:id="rId2"/>
  </sheets>
  <definedNames>
    <definedName name="_xlnm.Print_Area" localSheetId="0">需求统计表!$A$1:$K$10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<sst xmlns="http://schemas.openxmlformats.org/spreadsheetml/2006/main" count="311" uniqueCount="95">
  <si>
    <t>2026年发展党员需求统计表</t>
  </si>
  <si>
    <t xml:space="preserve">      项 目         
   单 位</t>
  </si>
  <si>
    <t>需求
总量
（人）</t>
  </si>
  <si>
    <t>结构计划</t>
  </si>
  <si>
    <t>国有
企业（人）</t>
  </si>
  <si>
    <t>非公
企业（人）</t>
  </si>
  <si>
    <t>社会
组织（人）</t>
  </si>
  <si>
    <t>机关（人）</t>
  </si>
  <si>
    <t>事业（人）</t>
  </si>
  <si>
    <t>其中：</t>
  </si>
  <si>
    <t>青年
（35岁及以下）
（人）</t>
  </si>
  <si>
    <t>高技能人才
（人）</t>
  </si>
  <si>
    <t>少数
民族（人）</t>
  </si>
  <si>
    <t>焦作市联通公司</t>
  </si>
  <si>
    <t>注:需求数量（人员）必须符合截至2025年3月底入党积极分子满一年；需求总量=国企+非公+社会组织+机关+事业，高技能人才指副高职称（研究生）及以上；各直属党组织于4月10日前报工委邮箱jzsjggw@126.com，逾期视为自动放弃。</t>
  </si>
  <si>
    <t>2026年发展党员信息台账表</t>
  </si>
  <si>
    <t>序号</t>
  </si>
  <si>
    <t>姓名</t>
  </si>
  <si>
    <t>性别</t>
  </si>
  <si>
    <t>支部</t>
  </si>
  <si>
    <t>专业线</t>
  </si>
  <si>
    <t>提交入党申请时间</t>
  </si>
  <si>
    <t>确定积极分子时间
（积极分子阶段至少一年）</t>
  </si>
  <si>
    <t>确定发展对象时间</t>
  </si>
  <si>
    <t>预备党员</t>
  </si>
  <si>
    <t>是否高知群（研究生）</t>
  </si>
  <si>
    <t>是否小CEO</t>
  </si>
  <si>
    <t>岗位</t>
  </si>
  <si>
    <t>出生年月</t>
  </si>
  <si>
    <t>年龄</t>
  </si>
  <si>
    <t xml:space="preserve">学历 </t>
  </si>
  <si>
    <t>是否参加积极分子培训</t>
  </si>
  <si>
    <t>是否参加发展对象培训</t>
  </si>
  <si>
    <t>目前状态</t>
  </si>
  <si>
    <t>王东晓</t>
  </si>
  <si>
    <t>女</t>
  </si>
  <si>
    <t>政企客户事业部党支部</t>
  </si>
  <si>
    <t>政企线</t>
  </si>
  <si>
    <t>是</t>
  </si>
  <si>
    <t>否</t>
  </si>
  <si>
    <t>核心岗</t>
  </si>
  <si>
    <t>研究生</t>
  </si>
  <si>
    <t>积极分子</t>
  </si>
  <si>
    <t>李佳鹏</t>
  </si>
  <si>
    <t>男</t>
  </si>
  <si>
    <t>数字化与稽核中心</t>
  </si>
  <si>
    <t>市场线</t>
  </si>
  <si>
    <t>执行岗</t>
  </si>
  <si>
    <t>王谦</t>
  </si>
  <si>
    <t>网络运营中心党支部</t>
  </si>
  <si>
    <t>网络线</t>
  </si>
  <si>
    <t>本科</t>
  </si>
  <si>
    <t>王文龙</t>
  </si>
  <si>
    <t>薛鹏飞</t>
  </si>
  <si>
    <t>交付中心党支部</t>
  </si>
  <si>
    <t>核心岗（资源管理网格小CEO）</t>
  </si>
  <si>
    <t>程立</t>
  </si>
  <si>
    <t>核心岗（自主交付网格小CEO）</t>
  </si>
  <si>
    <t>靳芳芳</t>
  </si>
  <si>
    <t>中站区分公司党支部</t>
  </si>
  <si>
    <t>六县四区</t>
  </si>
  <si>
    <t>行业总监</t>
  </si>
  <si>
    <t>许静</t>
  </si>
  <si>
    <t>综合支撑主任</t>
  </si>
  <si>
    <t>辛建卫</t>
  </si>
  <si>
    <t>创新业务支撑中心党支部</t>
  </si>
  <si>
    <t>2024年11月13日</t>
  </si>
  <si>
    <t>和安宁</t>
  </si>
  <si>
    <t>2024年11月18日</t>
  </si>
  <si>
    <t>李冬洁</t>
  </si>
  <si>
    <t>博爱分公司党支部</t>
  </si>
  <si>
    <t>前台岗-小CEO（孝敬网格小CEO）</t>
  </si>
  <si>
    <t>司黎明</t>
  </si>
  <si>
    <t>聂文思</t>
  </si>
  <si>
    <t>魏秋香</t>
  </si>
  <si>
    <t>孟州分公司党支部</t>
  </si>
  <si>
    <t>张利民</t>
  </si>
  <si>
    <t>核心岗（网络运营网格小CEO）</t>
  </si>
  <si>
    <t>张庆昀</t>
  </si>
  <si>
    <t>温县分公司党支部</t>
  </si>
  <si>
    <t>支撑岗</t>
  </si>
  <si>
    <t>闫玲玲</t>
  </si>
  <si>
    <t>沁阳市分公司党支部</t>
  </si>
  <si>
    <t>前台岗-小CEO(山王庄网格小CEO）</t>
  </si>
  <si>
    <t>赵伟丽</t>
  </si>
  <si>
    <t>入党申请人</t>
  </si>
  <si>
    <t>白利娟</t>
  </si>
  <si>
    <t>前台岗-前端</t>
  </si>
  <si>
    <t>王丹</t>
  </si>
  <si>
    <t>李斌</t>
  </si>
  <si>
    <t>贾淑楠</t>
  </si>
  <si>
    <t>网络部/网络与信息安全部党支部</t>
  </si>
  <si>
    <t>张宇</t>
  </si>
  <si>
    <t>李雨晴</t>
  </si>
  <si>
    <t>张家瑞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</si>
</sst>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34">
    <font>
      <sz val="11"/>
      <color theme="1"/>
      <name val="宋体"/>
      <charset val="134"/>
      <scheme val="minor"/>
    </font>
    <font>
      <b/>
      <sz val="18"/>
      <color rgb="FF000000"/>
      <name val="微软雅黑"/>
      <charset val="134"/>
    </font>
    <font>
      <b/>
      <sz val="10"/>
      <color rgb="FF000000"/>
      <name val="微软雅黑"/>
      <charset val="134"/>
    </font>
    <font>
      <sz val="10"/>
      <name val="微软雅黑"/>
      <charset val="134"/>
    </font>
    <font>
      <sz val="18"/>
      <name val="方正小标宋简体"/>
      <charset val="134"/>
    </font>
    <font>
      <b/>
      <sz val="9"/>
      <name val="黑体"/>
      <charset val="134"/>
    </font>
    <font>
      <b/>
      <sz val="9"/>
      <color theme="1"/>
      <name val="黑体"/>
      <charset val="134"/>
    </font>
    <font>
      <b/>
      <sz val="11"/>
      <color theme="1"/>
      <name val="宋体"/>
      <charset val="134"/>
      <scheme val="minor"/>
    </font>
    <font>
      <sz val="12"/>
      <name val="CESI黑体-GB2312"/>
      <charset val="134"/>
    </font>
    <font>
      <sz val="12"/>
      <name val="黑体"/>
      <charset val="134"/>
    </font>
    <font>
      <b/>
      <sz val="12"/>
      <name val="黑体"/>
      <charset val="134"/>
    </font>
    <font>
      <sz val="12"/>
      <color rgb="FF000000"/>
      <name val="CESI黑体-GB2312"/>
      <charset val="134"/>
    </font>
    <font>
      <b/>
      <sz val="12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 diagonalDown="1">
      <left style="thin">
        <color auto="1"/>
      </left>
      <right style="thin">
        <color auto="1"/>
      </right>
      <top style="thin">
        <color auto="1"/>
      </top>
      <bottom/>
      <diagonal style="thin">
        <color auto="1"/>
      </diagonal>
    </border>
    <border diagonalDown="1">
      <left style="thin">
        <color auto="1"/>
      </left>
      <right style="thin">
        <color auto="1"/>
      </right>
      <top/>
      <bottom/>
      <diagonal style="thin">
        <color auto="1"/>
      </diagonal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3" borderId="7" applyNumberFormat="0" applyAlignment="0" applyProtection="0">
      <alignment vertical="center"/>
    </xf>
    <xf numFmtId="0" fontId="23" fillId="4" borderId="8" applyNumberFormat="0" applyAlignment="0" applyProtection="0">
      <alignment vertical="center"/>
    </xf>
    <xf numFmtId="0" fontId="24" fillId="4" borderId="7" applyNumberFormat="0" applyAlignment="0" applyProtection="0">
      <alignment vertical="center"/>
    </xf>
    <xf numFmtId="0" fontId="25" fillId="5" borderId="9" applyNumberFormat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</cellStyleXfs>
  <cellXfs count="27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 applyProtection="1">
      <alignment horizontal="center" vertical="center" wrapText="1"/>
    </xf>
    <xf numFmtId="0" fontId="3" fillId="0" borderId="1" xfId="0" applyFont="1" applyFill="1" applyBorder="1" applyAlignment="1" applyProtection="1">
      <alignment horizontal="center" vertical="center" wrapText="1"/>
    </xf>
    <xf numFmtId="0" fontId="3" fillId="0" borderId="1" xfId="0" applyFont="1" applyFill="1" applyBorder="1" applyAlignment="1" applyProtection="1">
      <alignment horizontal="center" vertical="center"/>
    </xf>
    <xf numFmtId="31" fontId="3" fillId="0" borderId="1" xfId="0" applyNumberFormat="1" applyFont="1" applyFill="1" applyBorder="1" applyAlignment="1" applyProtection="1">
      <alignment horizontal="center" vertical="center"/>
    </xf>
    <xf numFmtId="14" fontId="3" fillId="0" borderId="1" xfId="0" applyNumberFormat="1" applyFont="1" applyFill="1" applyBorder="1" applyAlignment="1" applyProtection="1">
      <alignment horizontal="center" vertical="center"/>
    </xf>
    <xf numFmtId="31" fontId="3" fillId="0" borderId="1" xfId="0" applyNumberFormat="1" applyFont="1" applyFill="1" applyBorder="1" applyAlignment="1" applyProtection="1">
      <alignment horizontal="center" vertical="center" wrapText="1"/>
    </xf>
    <xf numFmtId="14" fontId="3" fillId="0" borderId="1" xfId="0" applyNumberFormat="1" applyFont="1" applyFill="1" applyBorder="1" applyAlignment="1" applyProtection="1">
      <alignment horizontal="center" vertical="center" wrapText="1"/>
    </xf>
    <xf numFmtId="49" fontId="3" fillId="0" borderId="1" xfId="0" applyNumberFormat="1" applyFont="1" applyFill="1" applyBorder="1" applyAlignment="1" applyProtection="1">
      <alignment horizontal="center" vertical="center"/>
    </xf>
    <xf numFmtId="31" fontId="3" fillId="0" borderId="1" xfId="0" applyNumberFormat="1" applyFont="1" applyFill="1" applyBorder="1" applyAlignment="1" applyProtection="1">
      <alignment horizontal="center" vertical="top"/>
    </xf>
    <xf numFmtId="0" fontId="3" fillId="0" borderId="1" xfId="0" applyFont="1" applyFill="1" applyBorder="1" applyAlignment="1" applyProtection="1">
      <alignment vertical="center"/>
    </xf>
    <xf numFmtId="0" fontId="4" fillId="0" borderId="0" xfId="0" applyFont="1" applyFill="1" applyAlignment="1">
      <alignment horizontal="center" vertical="center"/>
    </xf>
    <xf numFmtId="0" fontId="5" fillId="0" borderId="2" xfId="0" applyFont="1" applyFill="1" applyBorder="1" applyAlignment="1">
      <alignment vertical="top" wrapText="1"/>
    </xf>
    <xf numFmtId="176" fontId="5" fillId="0" borderId="1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left" vertical="center" wrapText="1"/>
    </xf>
    <xf numFmtId="0" fontId="8" fillId="0" borderId="1" xfId="50" applyFont="1" applyFill="1" applyBorder="1" applyAlignment="1">
      <alignment horizontal="center" vertical="center" wrapText="1"/>
    </xf>
    <xf numFmtId="176" fontId="9" fillId="0" borderId="1" xfId="0" applyNumberFormat="1" applyFont="1" applyFill="1" applyBorder="1" applyAlignment="1">
      <alignment horizontal="center" vertical="center"/>
    </xf>
    <xf numFmtId="176" fontId="10" fillId="0" borderId="1" xfId="0" applyNumberFormat="1" applyFont="1" applyFill="1" applyBorder="1" applyAlignment="1">
      <alignment horizontal="center" vertical="center"/>
    </xf>
    <xf numFmtId="0" fontId="11" fillId="0" borderId="1" xfId="5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3" fillId="0" borderId="0" xfId="0" applyFont="1" applyAlignment="1">
      <alignment horizontal="left" vertical="center" wrapTex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2019年计划建议数(反馈后" xfId="49"/>
    <cellStyle name="常规 2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0"/>
  <sheetViews>
    <sheetView zoomScale="110" zoomScaleNormal="110" workbookViewId="0">
      <pane ySplit="4" topLeftCell="A5" activePane="bottomLeft" state="frozen"/>
      <selection/>
      <selection pane="bottomLeft" activeCell="I14" sqref="I14"/>
    </sheetView>
  </sheetViews>
  <sheetFormatPr defaultColWidth="9" defaultRowHeight="14.4"/>
  <cols>
    <col min="1" max="1" width="13.9351851851852" customWidth="1"/>
    <col min="2" max="2" width="7.37037037037037" customWidth="1"/>
    <col min="3" max="8" width="8.08333333333333" customWidth="1"/>
    <col min="9" max="9" width="15.5555555555556" customWidth="1"/>
    <col min="10" max="10" width="10.4074074074074" customWidth="1"/>
    <col min="11" max="11" width="8.33333333333333" customWidth="1"/>
  </cols>
  <sheetData>
    <row r="1" ht="26" customHeight="1" spans="1:22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</row>
    <row r="2" ht="22" customHeight="1" spans="1:22">
      <c r="A2" s="13" t="s">
        <v>1</v>
      </c>
      <c r="B2" s="14" t="s">
        <v>2</v>
      </c>
      <c r="C2" s="15" t="s">
        <v>3</v>
      </c>
      <c r="D2" s="15"/>
      <c r="E2" s="15"/>
      <c r="F2" s="15"/>
      <c r="G2" s="15"/>
      <c r="H2" s="15"/>
      <c r="I2" s="15"/>
      <c r="J2" s="15"/>
      <c r="K2" s="15"/>
    </row>
    <row r="3" ht="18" customHeight="1" spans="1:22">
      <c r="A3" s="16"/>
      <c r="B3" s="14"/>
      <c r="C3" s="15" t="s">
        <v>4</v>
      </c>
      <c r="D3" s="15" t="s">
        <v>5</v>
      </c>
      <c r="E3" s="15" t="s">
        <v>6</v>
      </c>
      <c r="F3" s="15" t="s">
        <v>7</v>
      </c>
      <c r="G3" s="17" t="s">
        <v>8</v>
      </c>
      <c r="H3" s="17" t="s">
        <v>9</v>
      </c>
      <c r="I3" s="15" t="s">
        <v>10</v>
      </c>
      <c r="J3" s="15" t="s">
        <v>11</v>
      </c>
      <c r="K3" s="15" t="s">
        <v>12</v>
      </c>
    </row>
    <row r="4" ht="18" customHeight="1" spans="1:22">
      <c r="A4" s="16"/>
      <c r="B4" s="14"/>
      <c r="C4" s="15"/>
      <c r="D4" s="15"/>
      <c r="E4" s="15"/>
      <c r="F4" s="15"/>
      <c r="G4" s="18"/>
      <c r="H4" s="17"/>
      <c r="I4" s="15"/>
      <c r="J4" s="15"/>
      <c r="K4" s="15"/>
      <c r="M4" s="19"/>
      <c r="N4" s="19"/>
      <c r="O4" s="19"/>
      <c r="P4" s="19"/>
      <c r="Q4" s="19"/>
      <c r="R4" s="19"/>
      <c r="S4" s="19"/>
      <c r="T4" s="19"/>
      <c r="U4" s="19"/>
      <c r="V4" s="19"/>
    </row>
    <row r="5" ht="33" customHeight="1" spans="1:22">
      <c r="A5" s="20" t="s">
        <v>13</v>
      </c>
      <c r="B5" s="21">
        <f>COUNT(明细!A3:A27)</f>
        <v>25</v>
      </c>
      <c r="C5" s="21">
        <f>COUNT(明细!A3:A27)</f>
        <v>25</v>
      </c>
      <c r="D5" s="21"/>
      <c r="E5" s="21"/>
      <c r="F5" s="21"/>
      <c r="G5" s="21"/>
      <c r="H5" s="21"/>
      <c r="I5" s="21">
        <f>COUNTIF(明细!N:N,"&lt;=35")</f>
        <v>16</v>
      </c>
      <c r="J5" s="21">
        <f>COUNTIF(明细!J:J,"是")</f>
        <v>6</v>
      </c>
      <c r="K5" s="22"/>
    </row>
    <row r="6" ht="33" customHeight="1" spans="1:22">
      <c r="A6" s="23"/>
      <c r="B6" s="21"/>
      <c r="C6" s="21"/>
      <c r="D6" s="21"/>
      <c r="E6" s="21"/>
      <c r="F6" s="21"/>
      <c r="G6" s="21"/>
      <c r="H6" s="21"/>
      <c r="I6" s="21"/>
      <c r="J6" s="21"/>
      <c r="K6" s="22"/>
    </row>
    <row r="7" ht="33" customHeight="1" spans="1:22">
      <c r="A7" s="23"/>
      <c r="B7" s="21"/>
      <c r="C7" s="21"/>
      <c r="D7" s="21"/>
      <c r="E7" s="21"/>
      <c r="F7" s="21"/>
      <c r="G7" s="21"/>
      <c r="H7" s="21"/>
      <c r="I7" s="21"/>
      <c r="J7" s="21"/>
      <c r="K7" s="22"/>
    </row>
    <row r="8" ht="33" customHeight="1" spans="1:22">
      <c r="A8" s="23"/>
      <c r="B8" s="21"/>
      <c r="C8" s="21"/>
      <c r="D8" s="21"/>
      <c r="E8" s="21"/>
      <c r="F8" s="21"/>
      <c r="G8" s="21"/>
      <c r="H8" s="21"/>
      <c r="I8" s="21"/>
      <c r="J8" s="21"/>
      <c r="K8" s="22"/>
    </row>
    <row r="9" ht="47" customHeight="1" spans="1:22">
      <c r="A9" s="24"/>
      <c r="B9" s="25"/>
      <c r="C9" s="25"/>
      <c r="D9" s="25"/>
      <c r="E9" s="25"/>
      <c r="F9" s="25"/>
      <c r="G9" s="25"/>
      <c r="H9" s="25"/>
      <c r="I9" s="25"/>
      <c r="J9" s="25"/>
      <c r="K9" s="25"/>
    </row>
    <row r="10" ht="43" customHeight="1" spans="1:22">
      <c r="A10" s="26" t="s">
        <v>14</v>
      </c>
      <c r="B10" s="26"/>
      <c r="C10" s="26"/>
      <c r="D10" s="26"/>
      <c r="E10" s="26"/>
      <c r="F10" s="26"/>
      <c r="G10" s="26"/>
      <c r="H10" s="26"/>
      <c r="I10" s="26"/>
      <c r="J10" s="26"/>
      <c r="K10" s="26"/>
    </row>
  </sheetData>
  <mergeCells count="15">
    <mergeCell ref="A1:K1"/>
    <mergeCell ref="C2:K2"/>
    <mergeCell ref="M4:V4"/>
    <mergeCell ref="A10:K10"/>
    <mergeCell ref="A2:A4"/>
    <mergeCell ref="B2:B4"/>
    <mergeCell ref="C3:C4"/>
    <mergeCell ref="D3:D4"/>
    <mergeCell ref="E3:E4"/>
    <mergeCell ref="F3:F4"/>
    <mergeCell ref="G3:G4"/>
    <mergeCell ref="H3:H4"/>
    <mergeCell ref="I3:I4"/>
    <mergeCell ref="J3:J4"/>
    <mergeCell ref="K3:K4"/>
  </mergeCells>
  <printOptions horizontalCentered="1"/>
  <pageMargins left="0.275" right="0.275" top="0.60625" bottom="0.60625" header="0.5" footer="0.5"/>
  <pageSetup paperSize="9" orientation="portrait" horizont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7"/>
  <sheetViews>
    <sheetView tabSelected="1" workbookViewId="0">
      <selection activeCell="G21" sqref="G21"/>
    </sheetView>
  </sheetViews>
  <sheetFormatPr defaultColWidth="8.88888888888889" defaultRowHeight="14.4"/>
  <cols>
    <col min="4" max="4" width="21.6666666666667" customWidth="1"/>
    <col min="6" max="6" width="17.7777777777778" customWidth="1"/>
    <col min="7" max="7" width="20.8888888888889" customWidth="1"/>
    <col min="8" max="8" width="16" customWidth="1"/>
    <col min="9" max="9" width="20.1111111111111" customWidth="1"/>
    <col min="12" max="12" width="26.5555555555556" customWidth="1"/>
    <col min="13" max="13" width="16" customWidth="1"/>
  </cols>
  <sheetData>
    <row r="1" ht="25.8" spans="1:18">
      <c r="A1" s="1" t="s">
        <v>15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ht="46.8" spans="1:18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26</v>
      </c>
      <c r="L2" s="2" t="s">
        <v>27</v>
      </c>
      <c r="M2" s="2" t="s">
        <v>28</v>
      </c>
      <c r="N2" s="2" t="s">
        <v>29</v>
      </c>
      <c r="O2" s="2" t="s">
        <v>30</v>
      </c>
      <c r="P2" s="2" t="s">
        <v>31</v>
      </c>
      <c r="Q2" s="2" t="s">
        <v>32</v>
      </c>
      <c r="R2" s="2" t="s">
        <v>33</v>
      </c>
    </row>
    <row r="3" ht="15" spans="1:18">
      <c r="A3" s="3">
        <v>1</v>
      </c>
      <c r="B3" s="4" t="s">
        <v>34</v>
      </c>
      <c r="C3" s="4" t="s">
        <v>35</v>
      </c>
      <c r="D3" s="3" t="s">
        <v>36</v>
      </c>
      <c r="E3" s="3" t="s">
        <v>37</v>
      </c>
      <c r="F3" s="5">
        <v>45275</v>
      </c>
      <c r="G3" s="5">
        <v>45521</v>
      </c>
      <c r="H3" s="4"/>
      <c r="I3" s="4"/>
      <c r="J3" s="4" t="s">
        <v>38</v>
      </c>
      <c r="K3" s="4" t="s">
        <v>39</v>
      </c>
      <c r="L3" s="4" t="s">
        <v>40</v>
      </c>
      <c r="M3" s="6">
        <v>34703</v>
      </c>
      <c r="N3" s="4">
        <v>30</v>
      </c>
      <c r="O3" s="4" t="s">
        <v>41</v>
      </c>
      <c r="P3" s="4" t="s">
        <v>39</v>
      </c>
      <c r="Q3" s="4" t="s">
        <v>39</v>
      </c>
      <c r="R3" s="4" t="s">
        <v>42</v>
      </c>
    </row>
    <row r="4" ht="15" spans="1:18">
      <c r="A4" s="3">
        <v>2</v>
      </c>
      <c r="B4" s="4" t="s">
        <v>43</v>
      </c>
      <c r="C4" s="4" t="s">
        <v>44</v>
      </c>
      <c r="D4" s="4" t="s">
        <v>45</v>
      </c>
      <c r="E4" s="3" t="s">
        <v>46</v>
      </c>
      <c r="F4" s="5">
        <v>45519</v>
      </c>
      <c r="G4" s="5">
        <v>45702</v>
      </c>
      <c r="H4" s="4"/>
      <c r="I4" s="4"/>
      <c r="J4" s="4" t="s">
        <v>38</v>
      </c>
      <c r="K4" s="4" t="s">
        <v>39</v>
      </c>
      <c r="L4" s="4" t="s">
        <v>47</v>
      </c>
      <c r="M4" s="6">
        <v>36004</v>
      </c>
      <c r="N4" s="4">
        <v>27</v>
      </c>
      <c r="O4" s="4" t="s">
        <v>41</v>
      </c>
      <c r="P4" s="4" t="s">
        <v>38</v>
      </c>
      <c r="Q4" s="4" t="s">
        <v>39</v>
      </c>
      <c r="R4" s="4" t="s">
        <v>42</v>
      </c>
    </row>
    <row r="5" ht="15" spans="1:18">
      <c r="A5" s="3">
        <v>3</v>
      </c>
      <c r="B5" s="4" t="s">
        <v>48</v>
      </c>
      <c r="C5" s="4" t="s">
        <v>44</v>
      </c>
      <c r="D5" s="4" t="s">
        <v>49</v>
      </c>
      <c r="E5" s="3" t="s">
        <v>50</v>
      </c>
      <c r="F5" s="5">
        <v>45313</v>
      </c>
      <c r="G5" s="7">
        <v>45506</v>
      </c>
      <c r="H5" s="4"/>
      <c r="I5" s="4"/>
      <c r="J5" s="3" t="s">
        <v>39</v>
      </c>
      <c r="K5" s="3" t="s">
        <v>39</v>
      </c>
      <c r="L5" s="3" t="s">
        <v>47</v>
      </c>
      <c r="M5" s="8">
        <v>35929</v>
      </c>
      <c r="N5" s="4">
        <v>27</v>
      </c>
      <c r="O5" s="4" t="s">
        <v>51</v>
      </c>
      <c r="P5" s="4" t="s">
        <v>39</v>
      </c>
      <c r="Q5" s="4" t="s">
        <v>39</v>
      </c>
      <c r="R5" s="4" t="s">
        <v>42</v>
      </c>
    </row>
    <row r="6" ht="15" spans="1:18">
      <c r="A6" s="3">
        <v>4</v>
      </c>
      <c r="B6" s="4" t="s">
        <v>52</v>
      </c>
      <c r="C6" s="4" t="s">
        <v>44</v>
      </c>
      <c r="D6" s="4" t="s">
        <v>49</v>
      </c>
      <c r="E6" s="3" t="s">
        <v>50</v>
      </c>
      <c r="F6" s="5">
        <v>45314</v>
      </c>
      <c r="G6" s="7">
        <v>45506</v>
      </c>
      <c r="H6" s="4"/>
      <c r="I6" s="4"/>
      <c r="J6" s="3" t="s">
        <v>39</v>
      </c>
      <c r="K6" s="3" t="s">
        <v>39</v>
      </c>
      <c r="L6" s="3" t="s">
        <v>47</v>
      </c>
      <c r="M6" s="8">
        <v>36602</v>
      </c>
      <c r="N6" s="4">
        <v>25</v>
      </c>
      <c r="O6" s="4" t="s">
        <v>51</v>
      </c>
      <c r="P6" s="4" t="s">
        <v>39</v>
      </c>
      <c r="Q6" s="4" t="s">
        <v>39</v>
      </c>
      <c r="R6" s="4" t="s">
        <v>42</v>
      </c>
    </row>
    <row r="7" ht="21" customHeight="1" spans="1:18">
      <c r="A7" s="3">
        <v>5</v>
      </c>
      <c r="B7" s="4" t="s">
        <v>53</v>
      </c>
      <c r="C7" s="4" t="s">
        <v>44</v>
      </c>
      <c r="D7" s="4" t="s">
        <v>54</v>
      </c>
      <c r="E7" s="3" t="s">
        <v>50</v>
      </c>
      <c r="F7" s="5">
        <v>45299</v>
      </c>
      <c r="G7" s="7">
        <v>45520</v>
      </c>
      <c r="H7" s="4"/>
      <c r="I7" s="4"/>
      <c r="J7" s="3" t="s">
        <v>39</v>
      </c>
      <c r="K7" s="3" t="s">
        <v>38</v>
      </c>
      <c r="L7" s="3" t="s">
        <v>55</v>
      </c>
      <c r="M7" s="8">
        <v>36051</v>
      </c>
      <c r="N7" s="4">
        <v>27</v>
      </c>
      <c r="O7" s="4" t="s">
        <v>51</v>
      </c>
      <c r="P7" s="4" t="s">
        <v>39</v>
      </c>
      <c r="Q7" s="4" t="s">
        <v>39</v>
      </c>
      <c r="R7" s="4" t="s">
        <v>42</v>
      </c>
    </row>
    <row r="8" ht="19" customHeight="1" spans="1:18">
      <c r="A8" s="3">
        <v>6</v>
      </c>
      <c r="B8" s="4" t="s">
        <v>56</v>
      </c>
      <c r="C8" s="4" t="s">
        <v>44</v>
      </c>
      <c r="D8" s="4" t="s">
        <v>54</v>
      </c>
      <c r="E8" s="3" t="s">
        <v>50</v>
      </c>
      <c r="F8" s="5">
        <v>45299</v>
      </c>
      <c r="G8" s="7">
        <v>45520</v>
      </c>
      <c r="H8" s="4"/>
      <c r="I8" s="4"/>
      <c r="J8" s="3" t="s">
        <v>39</v>
      </c>
      <c r="K8" s="3" t="s">
        <v>38</v>
      </c>
      <c r="L8" s="3" t="s">
        <v>57</v>
      </c>
      <c r="M8" s="8">
        <v>36651</v>
      </c>
      <c r="N8" s="4">
        <v>25</v>
      </c>
      <c r="O8" s="4" t="s">
        <v>51</v>
      </c>
      <c r="P8" s="4" t="s">
        <v>39</v>
      </c>
      <c r="Q8" s="4" t="s">
        <v>39</v>
      </c>
      <c r="R8" s="4" t="s">
        <v>42</v>
      </c>
    </row>
    <row r="9" ht="15" spans="1:18">
      <c r="A9" s="3">
        <v>7</v>
      </c>
      <c r="B9" s="4" t="s">
        <v>58</v>
      </c>
      <c r="C9" s="4" t="s">
        <v>35</v>
      </c>
      <c r="D9" s="4" t="s">
        <v>59</v>
      </c>
      <c r="E9" s="4" t="s">
        <v>60</v>
      </c>
      <c r="F9" s="7">
        <v>45328</v>
      </c>
      <c r="G9" s="7">
        <v>45530</v>
      </c>
      <c r="H9" s="4"/>
      <c r="I9" s="4"/>
      <c r="J9" s="3" t="s">
        <v>39</v>
      </c>
      <c r="K9" s="3" t="s">
        <v>39</v>
      </c>
      <c r="L9" s="3" t="s">
        <v>61</v>
      </c>
      <c r="M9" s="8">
        <v>29974</v>
      </c>
      <c r="N9" s="3">
        <v>43</v>
      </c>
      <c r="O9" s="4" t="s">
        <v>51</v>
      </c>
      <c r="P9" s="4" t="s">
        <v>39</v>
      </c>
      <c r="Q9" s="4" t="s">
        <v>39</v>
      </c>
      <c r="R9" s="4" t="s">
        <v>42</v>
      </c>
    </row>
    <row r="10" ht="15" spans="1:18">
      <c r="A10" s="3">
        <v>8</v>
      </c>
      <c r="B10" s="4" t="s">
        <v>62</v>
      </c>
      <c r="C10" s="4" t="s">
        <v>35</v>
      </c>
      <c r="D10" s="4" t="s">
        <v>59</v>
      </c>
      <c r="E10" s="4" t="s">
        <v>60</v>
      </c>
      <c r="F10" s="7">
        <v>45328</v>
      </c>
      <c r="G10" s="7">
        <v>45530</v>
      </c>
      <c r="H10" s="4"/>
      <c r="I10" s="4"/>
      <c r="J10" s="3" t="s">
        <v>39</v>
      </c>
      <c r="K10" s="3" t="s">
        <v>39</v>
      </c>
      <c r="L10" s="3" t="s">
        <v>63</v>
      </c>
      <c r="M10" s="8">
        <v>32315</v>
      </c>
      <c r="N10" s="3">
        <v>37</v>
      </c>
      <c r="O10" s="4" t="s">
        <v>51</v>
      </c>
      <c r="P10" s="4" t="s">
        <v>39</v>
      </c>
      <c r="Q10" s="4" t="s">
        <v>39</v>
      </c>
      <c r="R10" s="4" t="s">
        <v>42</v>
      </c>
    </row>
    <row r="11" ht="15" spans="1:18">
      <c r="A11" s="3">
        <v>9</v>
      </c>
      <c r="B11" s="4" t="s">
        <v>64</v>
      </c>
      <c r="C11" s="4" t="s">
        <v>44</v>
      </c>
      <c r="D11" s="4" t="s">
        <v>65</v>
      </c>
      <c r="E11" s="3" t="s">
        <v>37</v>
      </c>
      <c r="F11" s="9" t="s">
        <v>66</v>
      </c>
      <c r="G11" s="7">
        <v>45825</v>
      </c>
      <c r="H11" s="4"/>
      <c r="I11" s="4"/>
      <c r="J11" s="4" t="s">
        <v>38</v>
      </c>
      <c r="K11" s="3" t="s">
        <v>39</v>
      </c>
      <c r="L11" s="3" t="s">
        <v>47</v>
      </c>
      <c r="M11" s="8">
        <v>36420</v>
      </c>
      <c r="N11" s="4">
        <v>25</v>
      </c>
      <c r="O11" s="4" t="s">
        <v>41</v>
      </c>
      <c r="P11" s="4" t="s">
        <v>39</v>
      </c>
      <c r="Q11" s="4" t="s">
        <v>39</v>
      </c>
      <c r="R11" s="4" t="s">
        <v>42</v>
      </c>
    </row>
    <row r="12" ht="15" spans="1:18">
      <c r="A12" s="3">
        <v>10</v>
      </c>
      <c r="B12" s="4" t="s">
        <v>67</v>
      </c>
      <c r="C12" s="4" t="s">
        <v>44</v>
      </c>
      <c r="D12" s="4" t="s">
        <v>65</v>
      </c>
      <c r="E12" s="3" t="s">
        <v>37</v>
      </c>
      <c r="F12" s="9" t="s">
        <v>68</v>
      </c>
      <c r="G12" s="7">
        <v>45825</v>
      </c>
      <c r="H12" s="4"/>
      <c r="I12" s="4"/>
      <c r="J12" s="3" t="s">
        <v>39</v>
      </c>
      <c r="K12" s="3" t="s">
        <v>39</v>
      </c>
      <c r="L12" s="3" t="s">
        <v>47</v>
      </c>
      <c r="M12" s="8">
        <v>36812</v>
      </c>
      <c r="N12" s="4">
        <v>24</v>
      </c>
      <c r="O12" s="4" t="s">
        <v>51</v>
      </c>
      <c r="P12" s="4" t="s">
        <v>39</v>
      </c>
      <c r="Q12" s="4" t="s">
        <v>39</v>
      </c>
      <c r="R12" s="4" t="s">
        <v>42</v>
      </c>
    </row>
    <row r="13" ht="15" spans="1:18">
      <c r="A13" s="3">
        <v>11</v>
      </c>
      <c r="B13" s="4" t="s">
        <v>69</v>
      </c>
      <c r="C13" s="4" t="s">
        <v>35</v>
      </c>
      <c r="D13" s="4" t="s">
        <v>70</v>
      </c>
      <c r="E13" s="4" t="s">
        <v>60</v>
      </c>
      <c r="F13" s="7">
        <v>44470</v>
      </c>
      <c r="G13" s="7">
        <v>44713</v>
      </c>
      <c r="H13" s="4"/>
      <c r="I13" s="4"/>
      <c r="J13" s="4" t="s">
        <v>39</v>
      </c>
      <c r="K13" s="4" t="s">
        <v>38</v>
      </c>
      <c r="L13" s="4" t="s">
        <v>71</v>
      </c>
      <c r="M13" s="6">
        <v>32161</v>
      </c>
      <c r="N13" s="4">
        <v>37</v>
      </c>
      <c r="O13" s="4" t="s">
        <v>51</v>
      </c>
      <c r="P13" s="4" t="s">
        <v>39</v>
      </c>
      <c r="Q13" s="4" t="s">
        <v>39</v>
      </c>
      <c r="R13" s="4" t="s">
        <v>42</v>
      </c>
    </row>
    <row r="14" ht="15" spans="1:18">
      <c r="A14" s="3">
        <v>12</v>
      </c>
      <c r="B14" s="4" t="s">
        <v>72</v>
      </c>
      <c r="C14" s="4" t="s">
        <v>44</v>
      </c>
      <c r="D14" s="4" t="s">
        <v>70</v>
      </c>
      <c r="E14" s="4" t="s">
        <v>60</v>
      </c>
      <c r="F14" s="7">
        <v>45597</v>
      </c>
      <c r="G14" s="10">
        <v>45849</v>
      </c>
      <c r="H14" s="4"/>
      <c r="I14" s="4"/>
      <c r="J14" s="4" t="s">
        <v>39</v>
      </c>
      <c r="K14" s="4" t="s">
        <v>39</v>
      </c>
      <c r="L14" s="4" t="s">
        <v>47</v>
      </c>
      <c r="M14" s="6">
        <v>31354</v>
      </c>
      <c r="N14" s="4">
        <v>40</v>
      </c>
      <c r="O14" s="4" t="s">
        <v>51</v>
      </c>
      <c r="P14" s="4" t="s">
        <v>39</v>
      </c>
      <c r="Q14" s="4" t="s">
        <v>39</v>
      </c>
      <c r="R14" s="4" t="s">
        <v>42</v>
      </c>
    </row>
    <row r="15" ht="15" spans="1:18">
      <c r="A15" s="3">
        <v>13</v>
      </c>
      <c r="B15" s="4" t="s">
        <v>73</v>
      </c>
      <c r="C15" s="4" t="s">
        <v>35</v>
      </c>
      <c r="D15" s="4" t="s">
        <v>70</v>
      </c>
      <c r="E15" s="4" t="s">
        <v>60</v>
      </c>
      <c r="F15" s="7">
        <v>45566</v>
      </c>
      <c r="G15" s="10">
        <v>45849</v>
      </c>
      <c r="H15" s="4"/>
      <c r="I15" s="4"/>
      <c r="J15" s="4" t="s">
        <v>39</v>
      </c>
      <c r="K15" s="4" t="s">
        <v>39</v>
      </c>
      <c r="L15" s="4" t="s">
        <v>47</v>
      </c>
      <c r="M15" s="6">
        <v>34566</v>
      </c>
      <c r="N15" s="4">
        <v>31</v>
      </c>
      <c r="O15" s="4" t="s">
        <v>51</v>
      </c>
      <c r="P15" s="4" t="s">
        <v>39</v>
      </c>
      <c r="Q15" s="4" t="s">
        <v>39</v>
      </c>
      <c r="R15" s="4" t="s">
        <v>42</v>
      </c>
    </row>
    <row r="16" ht="15" spans="1:18">
      <c r="A16" s="3">
        <v>14</v>
      </c>
      <c r="B16" s="4" t="s">
        <v>74</v>
      </c>
      <c r="C16" s="4" t="s">
        <v>35</v>
      </c>
      <c r="D16" s="4" t="s">
        <v>75</v>
      </c>
      <c r="E16" s="4" t="s">
        <v>60</v>
      </c>
      <c r="F16" s="7">
        <v>45474</v>
      </c>
      <c r="G16" s="5">
        <v>45709</v>
      </c>
      <c r="H16" s="4"/>
      <c r="I16" s="4"/>
      <c r="J16" s="4" t="s">
        <v>39</v>
      </c>
      <c r="K16" s="4" t="s">
        <v>39</v>
      </c>
      <c r="L16" s="4" t="s">
        <v>40</v>
      </c>
      <c r="M16" s="6">
        <v>29621</v>
      </c>
      <c r="N16" s="4">
        <v>44</v>
      </c>
      <c r="O16" s="4" t="s">
        <v>51</v>
      </c>
      <c r="P16" s="4" t="s">
        <v>39</v>
      </c>
      <c r="Q16" s="4" t="s">
        <v>39</v>
      </c>
      <c r="R16" s="4" t="s">
        <v>42</v>
      </c>
    </row>
    <row r="17" ht="15" spans="1:18">
      <c r="A17" s="3">
        <v>15</v>
      </c>
      <c r="B17" s="4" t="s">
        <v>76</v>
      </c>
      <c r="C17" s="4" t="s">
        <v>44</v>
      </c>
      <c r="D17" s="4" t="s">
        <v>75</v>
      </c>
      <c r="E17" s="4" t="s">
        <v>60</v>
      </c>
      <c r="F17" s="7">
        <v>45474</v>
      </c>
      <c r="G17" s="5">
        <v>45709</v>
      </c>
      <c r="H17" s="4"/>
      <c r="I17" s="4"/>
      <c r="J17" s="4" t="s">
        <v>39</v>
      </c>
      <c r="K17" s="4" t="s">
        <v>38</v>
      </c>
      <c r="L17" s="4" t="s">
        <v>77</v>
      </c>
      <c r="M17" s="6">
        <v>30961</v>
      </c>
      <c r="N17" s="4">
        <v>41</v>
      </c>
      <c r="O17" s="4" t="s">
        <v>51</v>
      </c>
      <c r="P17" s="4" t="s">
        <v>39</v>
      </c>
      <c r="Q17" s="4" t="s">
        <v>39</v>
      </c>
      <c r="R17" s="4" t="s">
        <v>42</v>
      </c>
    </row>
    <row r="18" ht="15" spans="1:18">
      <c r="A18" s="3">
        <v>16</v>
      </c>
      <c r="B18" s="4" t="s">
        <v>78</v>
      </c>
      <c r="C18" s="4" t="s">
        <v>44</v>
      </c>
      <c r="D18" s="4" t="s">
        <v>79</v>
      </c>
      <c r="E18" s="4" t="s">
        <v>60</v>
      </c>
      <c r="F18" s="5">
        <v>45622</v>
      </c>
      <c r="G18" s="5">
        <v>45856</v>
      </c>
      <c r="H18" s="11"/>
      <c r="I18" s="11"/>
      <c r="J18" s="4" t="s">
        <v>39</v>
      </c>
      <c r="K18" s="4" t="s">
        <v>39</v>
      </c>
      <c r="L18" s="4" t="s">
        <v>80</v>
      </c>
      <c r="M18" s="6">
        <v>37318</v>
      </c>
      <c r="N18" s="4">
        <v>23</v>
      </c>
      <c r="O18" s="4" t="s">
        <v>51</v>
      </c>
      <c r="P18" s="4" t="s">
        <v>39</v>
      </c>
      <c r="Q18" s="4" t="s">
        <v>39</v>
      </c>
      <c r="R18" s="4" t="s">
        <v>42</v>
      </c>
    </row>
    <row r="19" ht="15" spans="1:18">
      <c r="A19" s="3">
        <v>17</v>
      </c>
      <c r="B19" s="4" t="s">
        <v>81</v>
      </c>
      <c r="C19" s="4" t="s">
        <v>35</v>
      </c>
      <c r="D19" s="4" t="s">
        <v>82</v>
      </c>
      <c r="E19" s="4" t="s">
        <v>60</v>
      </c>
      <c r="F19" s="5">
        <v>45058</v>
      </c>
      <c r="G19" s="5">
        <v>45316</v>
      </c>
      <c r="H19" s="11"/>
      <c r="I19" s="11"/>
      <c r="J19" s="4" t="s">
        <v>39</v>
      </c>
      <c r="K19" s="4" t="s">
        <v>38</v>
      </c>
      <c r="L19" s="4" t="s">
        <v>83</v>
      </c>
      <c r="M19" s="6">
        <v>31692</v>
      </c>
      <c r="N19" s="4">
        <v>39</v>
      </c>
      <c r="O19" s="4" t="s">
        <v>51</v>
      </c>
      <c r="P19" s="4" t="s">
        <v>39</v>
      </c>
      <c r="Q19" s="4" t="s">
        <v>39</v>
      </c>
      <c r="R19" s="4" t="s">
        <v>42</v>
      </c>
    </row>
    <row r="20" ht="15" spans="1:18">
      <c r="A20" s="3">
        <v>18</v>
      </c>
      <c r="B20" s="4" t="s">
        <v>84</v>
      </c>
      <c r="C20" s="4" t="s">
        <v>35</v>
      </c>
      <c r="D20" s="4" t="s">
        <v>54</v>
      </c>
      <c r="E20" s="4" t="s">
        <v>50</v>
      </c>
      <c r="F20" s="5">
        <v>45877</v>
      </c>
      <c r="G20" s="5"/>
      <c r="H20" s="11"/>
      <c r="I20" s="11"/>
      <c r="J20" s="4" t="s">
        <v>38</v>
      </c>
      <c r="K20" s="4" t="s">
        <v>39</v>
      </c>
      <c r="L20" s="4" t="s">
        <v>40</v>
      </c>
      <c r="M20" s="6">
        <v>34922</v>
      </c>
      <c r="N20" s="4">
        <v>30</v>
      </c>
      <c r="O20" s="4" t="s">
        <v>41</v>
      </c>
      <c r="P20" s="4" t="s">
        <v>39</v>
      </c>
      <c r="Q20" s="4" t="s">
        <v>39</v>
      </c>
      <c r="R20" s="4" t="s">
        <v>85</v>
      </c>
    </row>
    <row r="21" ht="15" spans="1:18">
      <c r="A21" s="3">
        <v>19</v>
      </c>
      <c r="B21" s="4" t="s">
        <v>86</v>
      </c>
      <c r="C21" s="4" t="s">
        <v>35</v>
      </c>
      <c r="D21" s="4" t="s">
        <v>79</v>
      </c>
      <c r="E21" s="4" t="s">
        <v>60</v>
      </c>
      <c r="F21" s="5">
        <v>45879</v>
      </c>
      <c r="G21" s="5"/>
      <c r="H21" s="11"/>
      <c r="I21" s="11"/>
      <c r="J21" s="4" t="s">
        <v>39</v>
      </c>
      <c r="K21" s="4" t="s">
        <v>39</v>
      </c>
      <c r="L21" s="4" t="s">
        <v>87</v>
      </c>
      <c r="M21" s="6">
        <v>31754</v>
      </c>
      <c r="N21" s="4">
        <v>39</v>
      </c>
      <c r="O21" s="4" t="s">
        <v>51</v>
      </c>
      <c r="P21" s="4" t="s">
        <v>39</v>
      </c>
      <c r="Q21" s="4" t="s">
        <v>39</v>
      </c>
      <c r="R21" s="4" t="s">
        <v>85</v>
      </c>
    </row>
    <row r="22" ht="15" spans="1:18">
      <c r="A22" s="3">
        <v>20</v>
      </c>
      <c r="B22" s="4" t="s">
        <v>88</v>
      </c>
      <c r="C22" s="4" t="s">
        <v>35</v>
      </c>
      <c r="D22" s="4" t="s">
        <v>79</v>
      </c>
      <c r="E22" s="4" t="s">
        <v>60</v>
      </c>
      <c r="F22" s="5">
        <v>45835</v>
      </c>
      <c r="G22" s="5"/>
      <c r="H22" s="11"/>
      <c r="I22" s="11"/>
      <c r="J22" s="4" t="s">
        <v>39</v>
      </c>
      <c r="K22" s="4" t="s">
        <v>39</v>
      </c>
      <c r="L22" s="4" t="s">
        <v>87</v>
      </c>
      <c r="M22" s="6">
        <v>32754</v>
      </c>
      <c r="N22" s="4">
        <v>36</v>
      </c>
      <c r="O22" s="4" t="s">
        <v>51</v>
      </c>
      <c r="P22" s="4" t="s">
        <v>39</v>
      </c>
      <c r="Q22" s="4" t="s">
        <v>39</v>
      </c>
      <c r="R22" s="4" t="s">
        <v>85</v>
      </c>
    </row>
    <row r="23" ht="15" spans="1:18">
      <c r="A23" s="3">
        <v>21</v>
      </c>
      <c r="B23" s="4" t="s">
        <v>89</v>
      </c>
      <c r="C23" s="4" t="s">
        <v>44</v>
      </c>
      <c r="D23" s="4" t="s">
        <v>65</v>
      </c>
      <c r="E23" s="4" t="s">
        <v>37</v>
      </c>
      <c r="F23" s="5">
        <v>45860</v>
      </c>
      <c r="G23" s="5"/>
      <c r="H23" s="11"/>
      <c r="I23" s="11"/>
      <c r="J23" s="4" t="s">
        <v>38</v>
      </c>
      <c r="K23" s="4" t="s">
        <v>39</v>
      </c>
      <c r="L23" s="4" t="s">
        <v>47</v>
      </c>
      <c r="M23" s="6">
        <v>35827</v>
      </c>
      <c r="N23" s="4">
        <v>27</v>
      </c>
      <c r="O23" s="6" t="s">
        <v>41</v>
      </c>
      <c r="P23" s="4" t="s">
        <v>39</v>
      </c>
      <c r="Q23" s="4" t="s">
        <v>39</v>
      </c>
      <c r="R23" s="4" t="s">
        <v>85</v>
      </c>
    </row>
    <row r="24" ht="15" spans="1:18">
      <c r="A24" s="3">
        <v>22</v>
      </c>
      <c r="B24" s="4" t="s">
        <v>90</v>
      </c>
      <c r="C24" s="4" t="s">
        <v>35</v>
      </c>
      <c r="D24" s="4" t="s">
        <v>91</v>
      </c>
      <c r="E24" s="4" t="s">
        <v>50</v>
      </c>
      <c r="F24" s="5">
        <v>45118</v>
      </c>
      <c r="G24" s="5"/>
      <c r="H24" s="11"/>
      <c r="I24" s="11"/>
      <c r="J24" s="4" t="s">
        <v>38</v>
      </c>
      <c r="K24" s="4" t="s">
        <v>39</v>
      </c>
      <c r="L24" s="4" t="s">
        <v>47</v>
      </c>
      <c r="M24" s="6">
        <v>35339</v>
      </c>
      <c r="N24" s="4">
        <v>29</v>
      </c>
      <c r="O24" s="4" t="s">
        <v>41</v>
      </c>
      <c r="P24" s="4" t="s">
        <v>39</v>
      </c>
      <c r="Q24" s="4" t="s">
        <v>39</v>
      </c>
      <c r="R24" s="4" t="s">
        <v>85</v>
      </c>
    </row>
    <row r="25" ht="15" spans="1:18">
      <c r="A25" s="3">
        <v>23</v>
      </c>
      <c r="B25" s="4" t="s">
        <v>92</v>
      </c>
      <c r="C25" s="4" t="s">
        <v>35</v>
      </c>
      <c r="D25" s="4" t="s">
        <v>36</v>
      </c>
      <c r="E25" s="4" t="s">
        <v>37</v>
      </c>
      <c r="F25" s="5">
        <v>45891</v>
      </c>
      <c r="G25" s="5"/>
      <c r="H25" s="11"/>
      <c r="I25" s="11"/>
      <c r="J25" s="4" t="s">
        <v>39</v>
      </c>
      <c r="K25" s="4" t="s">
        <v>39</v>
      </c>
      <c r="L25" s="4" t="s">
        <v>47</v>
      </c>
      <c r="M25" s="6">
        <v>37112</v>
      </c>
      <c r="N25" s="4">
        <v>24</v>
      </c>
      <c r="O25" s="4" t="s">
        <v>51</v>
      </c>
      <c r="P25" s="4" t="s">
        <v>39</v>
      </c>
      <c r="Q25" s="4" t="s">
        <v>39</v>
      </c>
      <c r="R25" s="4" t="s">
        <v>85</v>
      </c>
    </row>
    <row r="26" ht="15" spans="1:18">
      <c r="A26" s="3">
        <v>24</v>
      </c>
      <c r="B26" s="4" t="s">
        <v>93</v>
      </c>
      <c r="C26" s="4" t="s">
        <v>35</v>
      </c>
      <c r="D26" s="4" t="s">
        <v>36</v>
      </c>
      <c r="E26" s="4" t="s">
        <v>37</v>
      </c>
      <c r="F26" s="5">
        <v>45898</v>
      </c>
      <c r="G26" s="5"/>
      <c r="H26" s="11"/>
      <c r="I26" s="11"/>
      <c r="J26" s="4" t="s">
        <v>39</v>
      </c>
      <c r="K26" s="4" t="s">
        <v>39</v>
      </c>
      <c r="L26" s="4" t="s">
        <v>47</v>
      </c>
      <c r="M26" s="6">
        <v>35478</v>
      </c>
      <c r="N26" s="4">
        <v>28</v>
      </c>
      <c r="O26" s="4" t="s">
        <v>51</v>
      </c>
      <c r="P26" s="4" t="s">
        <v>39</v>
      </c>
      <c r="Q26" s="4" t="s">
        <v>39</v>
      </c>
      <c r="R26" s="4" t="s">
        <v>85</v>
      </c>
    </row>
    <row r="27" ht="15" spans="1:18">
      <c r="A27" s="3">
        <v>25</v>
      </c>
      <c r="B27" s="4" t="s">
        <v>94</v>
      </c>
      <c r="C27" s="4" t="s">
        <v>44</v>
      </c>
      <c r="D27" s="4" t="s">
        <v>36</v>
      </c>
      <c r="E27" s="4" t="s">
        <v>37</v>
      </c>
      <c r="F27" s="5">
        <v>45894</v>
      </c>
      <c r="G27" s="11"/>
      <c r="H27" s="11"/>
      <c r="I27" s="11"/>
      <c r="J27" s="4" t="s">
        <v>39</v>
      </c>
      <c r="K27" s="4" t="s">
        <v>39</v>
      </c>
      <c r="L27" s="4" t="s">
        <v>47</v>
      </c>
      <c r="M27" s="6">
        <v>35819</v>
      </c>
      <c r="N27" s="4">
        <v>27</v>
      </c>
      <c r="O27" s="4" t="s">
        <v>51</v>
      </c>
      <c r="P27" s="4" t="s">
        <v>39</v>
      </c>
      <c r="Q27" s="4" t="s">
        <v>39</v>
      </c>
      <c r="R27" s="4" t="s">
        <v>85</v>
      </c>
    </row>
  </sheetData>
  <mergeCells count="1">
    <mergeCell ref="A1:R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需求统计表</vt:lpstr>
      <vt:lpstr>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 </cp:lastModifiedBy>
  <dcterms:created xsi:type="dcterms:W3CDTF">2023-03-09T00:26:00Z</dcterms:created>
  <cp:lastPrinted>2023-03-13T06:01:00Z</cp:lastPrinted>
  <dcterms:modified xsi:type="dcterms:W3CDTF">2026-03-31T13:30:52Z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194F9F1BB75D4B40A911A2B143ADD64B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