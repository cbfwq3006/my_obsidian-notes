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3"/>
  </bookViews>
  <sheets>
    <sheet name="市场线一季度" sheetId="1" r:id="rId1"/>
    <sheet name="一季度得分" sheetId="2" r:id="rId2"/>
    <sheet name="市场线二季度规则" sheetId="3" r:id="rId3"/>
    <sheet name="二季度得分" sheetId="4" r:id="rId4"/>
    <sheet name="政企线" sheetId="5" state="hidden" r:id="rId5"/>
    <sheet name="网络线" sheetId="6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<sst xmlns="http://schemas.openxmlformats.org/spreadsheetml/2006/main" count="429" uniqueCount="141">
  <si>
    <t>农村市场先锋队评分细则</t>
  </si>
  <si>
    <t>先锋队</t>
  </si>
  <si>
    <t>指标名称</t>
  </si>
  <si>
    <t>分值</t>
  </si>
  <si>
    <t>评分细则</t>
  </si>
  <si>
    <t>农村市场先锋队</t>
  </si>
  <si>
    <t>千村达标</t>
  </si>
  <si>
    <t>60%以下0分，60%及以上线性得分，1.2倍封顶</t>
  </si>
  <si>
    <t>份额破局达标</t>
  </si>
  <si>
    <t>目标村有效活动</t>
  </si>
  <si>
    <t>60%以下0分，60%及以上线性得分，1倍封顶</t>
  </si>
  <si>
    <t>关键人千户计划</t>
  </si>
  <si>
    <t>发展完成率线性得分，1倍封顶</t>
  </si>
  <si>
    <t>社区市场先锋队评分细则</t>
  </si>
  <si>
    <t>社区市场先锋队</t>
  </si>
  <si>
    <t>小区达标</t>
  </si>
  <si>
    <t>有效活动达标</t>
  </si>
  <si>
    <t>新模式活动达标</t>
  </si>
  <si>
    <t>商户市场先锋队评分细则</t>
  </si>
  <si>
    <t>商户市场先锋队</t>
  </si>
  <si>
    <t>宽带发展</t>
  </si>
  <si>
    <t>70%以下0分，70%及以上线性得分，1.2倍封顶</t>
  </si>
  <si>
    <t>标准动作</t>
  </si>
  <si>
    <t>惠商平台注册</t>
  </si>
  <si>
    <t>营业先锋队评分细则</t>
  </si>
  <si>
    <t>营业先锋队</t>
  </si>
  <si>
    <t>移网发展</t>
  </si>
  <si>
    <t>完成率线性得分，1.2倍封顶</t>
  </si>
  <si>
    <t>存量百元</t>
  </si>
  <si>
    <t>手机终端合约</t>
  </si>
  <si>
    <t>渠道先锋队评分细则</t>
  </si>
  <si>
    <t>渠道先锋队</t>
  </si>
  <si>
    <t>重点发展指标完成</t>
  </si>
  <si>
    <t>实收100元发展，完成率线性得分，1.2倍封顶</t>
  </si>
  <si>
    <t>有销渠道规模覆盖</t>
  </si>
  <si>
    <t>根据各单位有销渠道目标，39及以上卡品有销为标准，根据完成率线性得分，1.2倍封顶</t>
  </si>
  <si>
    <t>移宽融合渗透率</t>
  </si>
  <si>
    <t>当月新发展69及以上套餐融合率，70%-80%线性得分，80%及以上得满分，70%以下不得分</t>
  </si>
  <si>
    <t>客户服务先锋队评分细则</t>
  </si>
  <si>
    <t>客户服务先锋队</t>
  </si>
  <si>
    <t>春雷服务工单投诉压降</t>
  </si>
  <si>
    <t>服务工单压降（本地投诉+10015）
分单位设置目标值（2025年后四季度均值），低于目标值得满分；每高于目标值1个点，扣5分，扣完为止。</t>
  </si>
  <si>
    <t>服务工单综合评价</t>
  </si>
  <si>
    <t>评价率目标值96%，每低1个点扣5分，扣完为止。</t>
  </si>
  <si>
    <t>工信部来量压降</t>
  </si>
  <si>
    <t>工信部来量压降分单位设置目标值（剔重），低于目标值得满分；每高于目标值1户，扣5分，扣完为止。</t>
  </si>
  <si>
    <t>综合满意度</t>
  </si>
  <si>
    <t>TCSI满意度测评得分＞=84，本项不扣分；小于84分，每低1分，扣5分，扣完为止（如本月无明细数据取上月,取固移网平均值）。</t>
  </si>
  <si>
    <t>限制用户改套餐、限制用户销户、不知情订制、工信部有责</t>
  </si>
  <si>
    <t>扣分项</t>
  </si>
  <si>
    <t>限制改套餐、限制销户、不知情订制（2025年1月后添加）、工信部有责每产生1例扣1分，最高扣10分</t>
  </si>
  <si>
    <t>考核规则见市场线表</t>
  </si>
  <si>
    <t>单位</t>
  </si>
  <si>
    <t>合计得分</t>
  </si>
  <si>
    <t>排名</t>
  </si>
  <si>
    <t>焦作市博爱县分公司</t>
  </si>
  <si>
    <t>博爱</t>
  </si>
  <si>
    <t>焦作市孟州市分公司</t>
  </si>
  <si>
    <t>孟州</t>
  </si>
  <si>
    <t>焦作市沁阳市分公司</t>
  </si>
  <si>
    <t>沁阳</t>
  </si>
  <si>
    <t>焦作市温县分公司</t>
  </si>
  <si>
    <t>温县</t>
  </si>
  <si>
    <t>焦作市武陟县分公司</t>
  </si>
  <si>
    <t>武陟</t>
  </si>
  <si>
    <t>焦作市修武县分公司</t>
  </si>
  <si>
    <t>修武</t>
  </si>
  <si>
    <t>焦作市中站区分公司</t>
  </si>
  <si>
    <t>中站</t>
  </si>
  <si>
    <t>焦作市马村区分公司</t>
  </si>
  <si>
    <t>马村</t>
  </si>
  <si>
    <t>焦作市解放区分公司</t>
  </si>
  <si>
    <t>解放</t>
  </si>
  <si>
    <t>焦作市山阳区分公司</t>
  </si>
  <si>
    <t>山阳</t>
  </si>
  <si>
    <t>焦作市分公司</t>
  </si>
  <si>
    <t>合计</t>
  </si>
  <si>
    <t>份额破局千村引领</t>
  </si>
  <si>
    <t>小区份额提升</t>
  </si>
  <si>
    <t>按综合得分进行排名，第一得满分，每低一名扣2分，依次类推。</t>
  </si>
  <si>
    <t>考核规则见市场线二季度表</t>
  </si>
  <si>
    <t>“工作手机万户行动”先锋队评分细则</t>
  </si>
  <si>
    <t>“工作手机万户行动”先锋队</t>
  </si>
  <si>
    <t>发展目标完成率</t>
  </si>
  <si>
    <t>目标完成率＜60%，不得分；目标完成率≥60%，线性计分，1.2倍封顶。</t>
  </si>
  <si>
    <t>移网净增</t>
  </si>
  <si>
    <t>移网出账用户净增为正，得基本分；移网出账用户净增为负，扣基本分；</t>
  </si>
  <si>
    <t>云犀净增</t>
  </si>
  <si>
    <t>“专线联网5+1”先锋队评分细则</t>
  </si>
  <si>
    <t>“专线联网5+1”先锋队</t>
  </si>
  <si>
    <t>双线发展完成率</t>
  </si>
  <si>
    <t>线性计分，1.2倍封顶。</t>
  </si>
  <si>
    <t>重点企业渗透率提升</t>
  </si>
  <si>
    <t>双线净增</t>
  </si>
  <si>
    <t>“算网增收”先锋队评分细则</t>
  </si>
  <si>
    <t>“算网增收”先锋队</t>
  </si>
  <si>
    <t>签约额</t>
  </si>
  <si>
    <t>算网收入</t>
  </si>
  <si>
    <t>“应收账款”先锋队评分细则</t>
  </si>
  <si>
    <t>“应收账款”先锋队</t>
  </si>
  <si>
    <t>应收账款回款</t>
  </si>
  <si>
    <t>线性得分，1.2倍封顶。</t>
  </si>
  <si>
    <t>存量应收账款回款</t>
  </si>
  <si>
    <t>项目新增应收账款回款</t>
  </si>
  <si>
    <t>“企业市场攻坚”先锋队评分细则</t>
  </si>
  <si>
    <t>“强企”先锋队</t>
  </si>
  <si>
    <t>大企业市场拓展综合评价（50分）</t>
  </si>
  <si>
    <t>评分规则:按照综合评分办法计分</t>
  </si>
  <si>
    <t>商企市场拓展综合评价（50分）</t>
  </si>
  <si>
    <t>客户感知提升先锋队评分细则</t>
  </si>
  <si>
    <t>客户感知提升先锋队</t>
  </si>
  <si>
    <t>TCSI移网网络满意度提升</t>
  </si>
  <si>
    <t>一、当月满意度积分（满分5分）1.满意度得分超行业第一名且高于85分的积5分。2.当月满意度得分超行业均值，积1分。行业第一名积2分；满意度得分在78-85之间，0-3分线性积分。当月满意度得分低于78分，积0分；二、截至当前月全年累计满意度积分（满分5分）1.累计满意度得分超行业第一名且高于85分的积5分。2.累计满意度得分超行业均值，积1分。行业第一名积2分；满意度得分在78-85之间，0-3分线性积分。满意度得分低于78分，积0分；</t>
  </si>
  <si>
    <t>移网网络实时评价满意度</t>
  </si>
  <si>
    <t>1.移网网络实时评价7分（不含）以下积0分。 2.移网网络实时评价7至8分（不含8分），0-3分线性积分。3.移网网络实时评价8（含）至8.6分5-10分线性积分；4.移网网络实时评价8.6分以上积10分。</t>
  </si>
  <si>
    <t>移网网络投诉压降及服务综合评价和建单率</t>
  </si>
  <si>
    <t>移网网络重复建单率,10分；移网网络服务综合评价率，10分；移网网络质量投诉率压降，10分；每项各10分，按照工匠行动打分；</t>
  </si>
  <si>
    <t>TCSI固网网络满意度提升</t>
  </si>
  <si>
    <t>网络质量满意度得分高于85分的积30分，满意度得分在78-85之间，0-30分线性积分。当月满意度得分低于78分，积0分；</t>
  </si>
  <si>
    <t>宽带网络实时评价满意度</t>
  </si>
  <si>
    <t>宽带网络实时评价7分以下积0分，7至8分（不含8分），0-6分线性积分，8（含）至8.6分10-20分线性积分，8.6分以上积20分。</t>
  </si>
  <si>
    <t>网络安全先锋队评分细则</t>
  </si>
  <si>
    <t>网络安全先锋队</t>
  </si>
  <si>
    <t>隐患管理入库</t>
  </si>
  <si>
    <t>1、通过日常故障、告警等信息发现隐患没有入库，按照重大3分/件，较大2分/件，一般1分/件，扣完为止。
2、通过省、市公司现场检查发现存在没入库隐患的，按照重大5分/件，较大3分/件，一般1分/件，扣完为止。
3、隐患未按要求整改闭环，每发生一件扣2分，扣完为止。
4、隐患录入不规范，每发现1件扣1分，扣完为止。</t>
  </si>
  <si>
    <t>持证上岗</t>
  </si>
  <si>
    <t>1、持证上岗率目标值100%，每低1PP，扣1分，扣完为止。
2、系统内外各级检查，发现实际从业人员与上报名单不符时，每发生一次扣本项分值的50%。</t>
  </si>
  <si>
    <t>故障管理</t>
  </si>
  <si>
    <t>1、小区退服考核目标值99.5%，每低1PP，扣1分，扣完为止。2、PON口退服考核目标值93%，每低1PP，扣1分，扣完为止。
3、故障处理及时率目标值100%，每低1PP，扣1分，扣完为止。4、每发生1次S级故障，扣15分，扣完为止。</t>
  </si>
  <si>
    <t>网络与信息安全</t>
  </si>
  <si>
    <t>1、每发生1次钓鱼邮件信息事件，扣2分，扣完为止。
2、每发生1次终端中毒情况，扣1分，扣完为止。
3、未及时完成网信安相关工作，1次2分，如果被省公司通报，1次扣5分，扣完为止。
4、因弱口令、账号口令、源代码等敏感信息泄露，未在工业和信息化部定级备案或未在集团资产管理平台报备(含报备信息有误)等原因被上级监管机构通报、集团公司通报、省公司通报一次扣20分，扣完为止。</t>
  </si>
  <si>
    <t>智家暖心行动先锋队评分细则</t>
  </si>
  <si>
    <t>智家暖心行动先锋队</t>
  </si>
  <si>
    <t>智家投诉压降</t>
  </si>
  <si>
    <t>智家工程师投诉率在0.3~0.7之间从0到30分线性得分，高于0.7得0分。</t>
  </si>
  <si>
    <t>装维动作规范性管控</t>
  </si>
  <si>
    <t>联系及时率在88%-92%之间按0-20之间线性得分，低于88%得0分。</t>
  </si>
  <si>
    <t>智家工程师实时评价</t>
  </si>
  <si>
    <t>实时评价参评率在95%-100%之间按0-20分线性积分，低于95%得0分。</t>
  </si>
  <si>
    <t>装维动作合格率</t>
  </si>
  <si>
    <t>装维动作合格率在88.5%-98.5%之间按0-30分线性积分，低于88.5%得0分。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</si>
</sst>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"/>
  </numFmts>
  <fonts count="38">
    <font>
      <sz val="12"/>
      <color theme="1"/>
      <name val="等线"/>
      <charset val="134"/>
      <scheme val="minor"/>
    </font>
    <font>
      <sz val="12"/>
      <color rgb="FF000000"/>
      <name val="等线"/>
      <charset val="134"/>
    </font>
    <font>
      <sz val="11"/>
      <color rgb="FF000000"/>
      <name val="微软雅黑"/>
      <charset val="134"/>
    </font>
    <font>
      <sz val="12"/>
      <color rgb="FF000000"/>
      <name val="微软雅黑"/>
      <charset val="134"/>
    </font>
    <font>
      <b/>
      <sz val="16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Microsoft YaHei"/>
      <charset val="134"/>
    </font>
    <font>
      <sz val="10"/>
      <color rgb="FF000000"/>
      <name val="等线"/>
      <charset val="134"/>
    </font>
    <font>
      <b/>
      <sz val="10"/>
      <name val="微软雅黑"/>
      <charset val="134"/>
    </font>
    <font>
      <sz val="12"/>
      <name val="等线"/>
      <charset val="134"/>
      <scheme val="minor"/>
    </font>
    <font>
      <sz val="10"/>
      <name val="微软雅黑"/>
      <charset val="134"/>
    </font>
    <font>
      <sz val="10"/>
      <name val="Microsoft YaHei"/>
      <charset val="134"/>
    </font>
    <font>
      <sz val="12"/>
      <name val="等线"/>
      <charset val="134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b/>
      <sz val="10"/>
      <color rgb="FFFFFFFF"/>
      <name val="微软雅黑"/>
      <charset val="134"/>
    </font>
    <font>
      <sz val="10"/>
      <color rgb="FFFFFFFF"/>
      <name val="微软雅黑"/>
      <charset val="134"/>
    </font>
    <font>
      <b/>
      <sz val="12"/>
      <color rgb="FFFFFFFF"/>
      <name val="等线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4" borderId="8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5" borderId="11" applyNumberFormat="0" applyAlignment="0" applyProtection="0">
      <alignment vertical="center"/>
    </xf>
    <xf numFmtId="0" fontId="28" fillId="6" borderId="12" applyNumberFormat="0" applyAlignment="0" applyProtection="0">
      <alignment vertical="center"/>
    </xf>
    <xf numFmtId="0" fontId="29" fillId="6" borderId="11" applyNumberFormat="0" applyAlignment="0" applyProtection="0">
      <alignment vertical="center"/>
    </xf>
    <xf numFmtId="0" fontId="30" fillId="7" borderId="13" applyNumberFormat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 applyProtection="1">
      <alignment horizontal="center" vertical="center" wrapText="1"/>
    </xf>
    <xf numFmtId="0" fontId="2" fillId="0" borderId="2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horizontal="center" vertical="center" wrapText="1"/>
    </xf>
    <xf numFmtId="0" fontId="2" fillId="0" borderId="4" xfId="0" applyFont="1" applyBorder="1" applyAlignment="1" applyProtection="1">
      <alignment horizontal="center" vertical="center" wrapText="1"/>
    </xf>
    <xf numFmtId="0" fontId="2" fillId="0" borderId="3" xfId="0" applyFont="1" applyBorder="1" applyAlignment="1" applyProtection="1">
      <alignment horizontal="justify" vertical="center" wrapText="1"/>
    </xf>
    <xf numFmtId="0" fontId="2" fillId="0" borderId="3" xfId="0" applyFont="1" applyBorder="1" applyAlignment="1" applyProtection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justify" vertical="center" wrapText="1"/>
    </xf>
    <xf numFmtId="0" fontId="4" fillId="0" borderId="0" xfId="0" applyFont="1" applyAlignment="1">
      <alignment horizontal="center" vertical="center" wrapText="1"/>
    </xf>
    <xf numFmtId="0" fontId="5" fillId="2" borderId="3" xfId="0" applyFont="1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2" fillId="0" borderId="3" xfId="0" applyFont="1" applyBorder="1" applyAlignment="1" applyProtection="1">
      <alignment horizontal="center" vertical="center"/>
    </xf>
    <xf numFmtId="0" fontId="7" fillId="0" borderId="5" xfId="0" applyFont="1" applyBorder="1" applyProtection="1">
      <alignment vertical="center"/>
    </xf>
    <xf numFmtId="0" fontId="7" fillId="0" borderId="6" xfId="0" applyFont="1" applyBorder="1" applyProtection="1">
      <alignment vertical="center"/>
    </xf>
    <xf numFmtId="0" fontId="2" fillId="0" borderId="0" xfId="0" applyFont="1" applyAlignment="1">
      <alignment horizontal="center" vertical="center"/>
    </xf>
    <xf numFmtId="0" fontId="7" fillId="0" borderId="3" xfId="0" applyFont="1" applyBorder="1" applyProtection="1">
      <alignment vertical="center"/>
    </xf>
    <xf numFmtId="0" fontId="5" fillId="2" borderId="1" xfId="0" applyFont="1" applyFill="1" applyBorder="1" applyAlignment="1" applyProtection="1">
      <alignment horizontal="center" vertical="center"/>
    </xf>
    <xf numFmtId="0" fontId="8" fillId="0" borderId="3" xfId="0" applyFont="1" applyFill="1" applyBorder="1" applyAlignment="1" applyProtection="1">
      <alignment horizontal="center" vertical="center" wrapText="1"/>
    </xf>
    <xf numFmtId="0" fontId="9" fillId="0" borderId="0" xfId="0" applyFont="1" applyFill="1">
      <alignment vertical="center"/>
    </xf>
    <xf numFmtId="0" fontId="10" fillId="0" borderId="3" xfId="0" applyFont="1" applyFill="1" applyBorder="1" applyAlignment="1" applyProtection="1">
      <alignment horizontal="center" vertical="center"/>
    </xf>
    <xf numFmtId="2" fontId="11" fillId="0" borderId="3" xfId="0" applyNumberFormat="1" applyFont="1" applyFill="1" applyBorder="1" applyAlignment="1" applyProtection="1">
      <alignment horizontal="center" vertical="center"/>
    </xf>
    <xf numFmtId="0" fontId="11" fillId="0" borderId="3" xfId="0" applyFont="1" applyFill="1" applyBorder="1" applyAlignment="1" applyProtection="1">
      <alignment horizontal="center" vertical="center"/>
    </xf>
    <xf numFmtId="2" fontId="11" fillId="2" borderId="3" xfId="0" applyNumberFormat="1" applyFont="1" applyFill="1" applyBorder="1" applyAlignment="1" applyProtection="1">
      <alignment horizontal="center" vertical="center"/>
    </xf>
    <xf numFmtId="0" fontId="11" fillId="2" borderId="3" xfId="0" applyFont="1" applyFill="1" applyBorder="1" applyAlignment="1" applyProtection="1">
      <alignment horizontal="center" vertical="center"/>
    </xf>
    <xf numFmtId="0" fontId="10" fillId="2" borderId="3" xfId="0" applyFont="1" applyFill="1" applyBorder="1" applyAlignment="1" applyProtection="1">
      <alignment horizontal="center" vertical="center"/>
    </xf>
    <xf numFmtId="0" fontId="10" fillId="0" borderId="3" xfId="0" applyFont="1" applyFill="1" applyBorder="1" applyAlignment="1" applyProtection="1">
      <alignment horizontal="center" vertical="center"/>
    </xf>
    <xf numFmtId="0" fontId="12" fillId="0" borderId="0" xfId="0" applyFont="1" applyFill="1">
      <alignment vertical="center"/>
    </xf>
    <xf numFmtId="0" fontId="8" fillId="0" borderId="3" xfId="0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horizontal="center" vertical="center" wrapText="1"/>
    </xf>
    <xf numFmtId="176" fontId="11" fillId="0" borderId="3" xfId="0" applyNumberFormat="1" applyFont="1" applyFill="1" applyBorder="1" applyAlignment="1" applyProtection="1">
      <alignment horizontal="center" vertical="center"/>
    </xf>
    <xf numFmtId="0" fontId="11" fillId="0" borderId="2" xfId="0" applyFont="1" applyFill="1" applyBorder="1" applyAlignment="1" applyProtection="1">
      <alignment horizontal="center" vertical="center"/>
    </xf>
    <xf numFmtId="2" fontId="10" fillId="0" borderId="3" xfId="0" applyNumberFormat="1" applyFont="1" applyFill="1" applyBorder="1" applyAlignment="1" applyProtection="1">
      <alignment horizontal="center" vertical="center"/>
    </xf>
    <xf numFmtId="176" fontId="10" fillId="0" borderId="3" xfId="0" applyNumberFormat="1" applyFont="1" applyFill="1" applyBorder="1" applyProtection="1">
      <alignment vertical="center"/>
    </xf>
    <xf numFmtId="0" fontId="11" fillId="2" borderId="2" xfId="0" applyFont="1" applyFill="1" applyBorder="1" applyAlignment="1" applyProtection="1">
      <alignment horizontal="center" vertical="center"/>
    </xf>
    <xf numFmtId="176" fontId="11" fillId="2" borderId="3" xfId="0" applyNumberFormat="1" applyFont="1" applyFill="1" applyBorder="1" applyAlignment="1" applyProtection="1">
      <alignment horizontal="center" vertical="center"/>
    </xf>
    <xf numFmtId="2" fontId="10" fillId="2" borderId="3" xfId="0" applyNumberFormat="1" applyFont="1" applyFill="1" applyBorder="1" applyAlignment="1" applyProtection="1">
      <alignment horizontal="center" vertical="center"/>
    </xf>
    <xf numFmtId="176" fontId="10" fillId="2" borderId="3" xfId="0" applyNumberFormat="1" applyFont="1" applyFill="1" applyBorder="1" applyProtection="1">
      <alignment vertical="center"/>
    </xf>
    <xf numFmtId="0" fontId="10" fillId="0" borderId="3" xfId="0" applyFont="1" applyFill="1" applyBorder="1" applyProtection="1">
      <alignment vertical="center"/>
    </xf>
    <xf numFmtId="0" fontId="2" fillId="0" borderId="4" xfId="0" applyFont="1" applyBorder="1" applyAlignment="1" applyProtection="1">
      <alignment horizontal="center" vertical="center"/>
    </xf>
    <xf numFmtId="0" fontId="2" fillId="0" borderId="3" xfId="0" applyFont="1" applyBorder="1" applyAlignment="1" applyProtection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4" fillId="2" borderId="3" xfId="0" applyFont="1" applyFill="1" applyBorder="1" applyAlignment="1" applyProtection="1">
      <alignment horizontal="center" vertical="center" wrapText="1"/>
    </xf>
    <xf numFmtId="0" fontId="15" fillId="3" borderId="3" xfId="0" applyFont="1" applyFill="1" applyBorder="1" applyAlignment="1" applyProtection="1">
      <alignment horizontal="center" vertical="center" wrapText="1"/>
    </xf>
    <xf numFmtId="0" fontId="15" fillId="3" borderId="2" xfId="0" applyFont="1" applyFill="1" applyBorder="1" applyAlignment="1" applyProtection="1">
      <alignment horizontal="center" vertical="center" wrapText="1"/>
    </xf>
    <xf numFmtId="0" fontId="15" fillId="3" borderId="7" xfId="0" applyFont="1" applyFill="1" applyBorder="1" applyAlignment="1" applyProtection="1">
      <alignment horizontal="center" vertical="center" wrapText="1"/>
    </xf>
    <xf numFmtId="0" fontId="15" fillId="3" borderId="4" xfId="0" applyFont="1" applyFill="1" applyBorder="1" applyAlignment="1" applyProtection="1">
      <alignment horizontal="center" vertical="center" wrapText="1"/>
    </xf>
    <xf numFmtId="0" fontId="13" fillId="0" borderId="3" xfId="0" applyFont="1" applyBorder="1" applyAlignment="1" applyProtection="1">
      <alignment horizontal="center" vertical="center"/>
    </xf>
    <xf numFmtId="177" fontId="13" fillId="0" borderId="3" xfId="0" applyNumberFormat="1" applyFont="1" applyBorder="1" applyAlignment="1" applyProtection="1">
      <alignment horizontal="center" vertical="center"/>
    </xf>
    <xf numFmtId="0" fontId="16" fillId="3" borderId="3" xfId="0" applyFont="1" applyFill="1" applyBorder="1" applyAlignment="1" applyProtection="1">
      <alignment horizontal="center" vertical="center"/>
    </xf>
    <xf numFmtId="2" fontId="15" fillId="3" borderId="3" xfId="0" applyNumberFormat="1" applyFont="1" applyFill="1" applyBorder="1" applyAlignment="1" applyProtection="1">
      <alignment horizontal="center" vertical="center"/>
    </xf>
    <xf numFmtId="0" fontId="15" fillId="3" borderId="3" xfId="0" applyFont="1" applyFill="1" applyBorder="1" applyAlignment="1" applyProtection="1">
      <alignment horizontal="center" vertical="center"/>
    </xf>
    <xf numFmtId="0" fontId="16" fillId="3" borderId="3" xfId="0" applyFont="1" applyFill="1" applyBorder="1" applyProtection="1">
      <alignment vertical="center"/>
    </xf>
    <xf numFmtId="0" fontId="1" fillId="0" borderId="3" xfId="0" applyFont="1" applyBorder="1" applyProtection="1">
      <alignment vertical="center"/>
    </xf>
    <xf numFmtId="0" fontId="1" fillId="0" borderId="3" xfId="0" applyFont="1" applyBorder="1" applyAlignment="1" applyProtection="1">
      <alignment horizontal="center" vertical="center"/>
    </xf>
    <xf numFmtId="0" fontId="17" fillId="3" borderId="3" xfId="0" applyFont="1" applyFill="1" applyBorder="1" applyProtection="1">
      <alignment vertical="center"/>
    </xf>
    <xf numFmtId="176" fontId="17" fillId="3" borderId="3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41"/>
  <sheetViews>
    <sheetView workbookViewId="0">
      <selection activeCell="A1" sqref="A1:D1"/>
    </sheetView>
  </sheetViews>
  <sheetFormatPr defaultColWidth="8.83333333333333" defaultRowHeight="14" customHeight="1"/>
  <cols>
    <col min="1" max="1" width="31.8333333333333" style="2" customWidth="1"/>
    <col min="2" max="2" width="23.6666666666667" style="2" customWidth="1"/>
    <col min="3" max="3" width="9.33333333333333" style="3" customWidth="1"/>
    <col min="4" max="4" width="98" style="2" customWidth="1"/>
    <col min="5" max="40" width="8.83333333333333" style="3"/>
  </cols>
  <sheetData>
    <row r="1" s="1" customFormat="1" ht="24" customHeight="1" spans="1:40">
      <c r="A1" s="4" t="s">
        <v>0</v>
      </c>
      <c r="B1" s="4"/>
      <c r="C1" s="4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="1" customFormat="1" ht="27" customHeight="1" spans="1:40">
      <c r="A2" s="14" t="s">
        <v>1</v>
      </c>
      <c r="B2" s="14" t="s">
        <v>2</v>
      </c>
      <c r="C2" s="14" t="s">
        <v>3</v>
      </c>
      <c r="D2" s="14" t="s">
        <v>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="1" customFormat="1" ht="22" customHeight="1" spans="1:40">
      <c r="A3" s="16" t="s">
        <v>5</v>
      </c>
      <c r="B3" s="16" t="s">
        <v>6</v>
      </c>
      <c r="C3" s="16">
        <v>30</v>
      </c>
      <c r="D3" s="10" t="s">
        <v>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="1" customFormat="1" ht="22" customHeight="1" spans="1:40">
      <c r="A4" s="16"/>
      <c r="B4" s="16" t="s">
        <v>8</v>
      </c>
      <c r="C4" s="16">
        <v>40</v>
      </c>
      <c r="D4" s="10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="1" customFormat="1" ht="22" customHeight="1" spans="1:40">
      <c r="A5" s="16"/>
      <c r="B5" s="16" t="s">
        <v>9</v>
      </c>
      <c r="C5" s="16">
        <v>30</v>
      </c>
      <c r="D5" s="10" t="s">
        <v>10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="1" customFormat="1" ht="22" customHeight="1" spans="1:40">
      <c r="A6" s="16"/>
      <c r="B6" s="16" t="s">
        <v>11</v>
      </c>
      <c r="C6" s="16">
        <v>10</v>
      </c>
      <c r="D6" s="10" t="s">
        <v>12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="1" customFormat="1" ht="22" customHeight="1" spans="1:40">
      <c r="A7" s="19"/>
      <c r="B7" s="19"/>
      <c r="C7" s="19"/>
      <c r="D7" s="11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="1" customFormat="1" ht="22" customHeight="1" spans="1:40">
      <c r="A8" s="4" t="s">
        <v>13</v>
      </c>
      <c r="B8" s="4"/>
      <c r="C8" s="4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="1" customFormat="1" ht="22" customHeight="1" spans="1:40">
      <c r="A9" s="14" t="s">
        <v>1</v>
      </c>
      <c r="B9" s="14" t="s">
        <v>2</v>
      </c>
      <c r="C9" s="14" t="s">
        <v>3</v>
      </c>
      <c r="D9" s="14" t="s">
        <v>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="1" customFormat="1" ht="22" customHeight="1" spans="1:40">
      <c r="A10" s="15" t="s">
        <v>14</v>
      </c>
      <c r="B10" s="16" t="s">
        <v>15</v>
      </c>
      <c r="C10" s="16">
        <v>50</v>
      </c>
      <c r="D10" s="10" t="s">
        <v>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="1" customFormat="1" ht="22" customHeight="1" spans="1:40">
      <c r="A11" s="17"/>
      <c r="B11" s="16" t="s">
        <v>16</v>
      </c>
      <c r="C11" s="16">
        <v>20</v>
      </c>
      <c r="D11" s="10" t="s">
        <v>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="1" customFormat="1" ht="22" customHeight="1" spans="1:40">
      <c r="A12" s="17"/>
      <c r="B12" s="16" t="s">
        <v>17</v>
      </c>
      <c r="C12" s="16">
        <v>20</v>
      </c>
      <c r="D12" s="10" t="s">
        <v>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="1" customFormat="1" ht="22" customHeight="1" spans="1:40">
      <c r="A13" s="18"/>
      <c r="B13" s="16" t="s">
        <v>11</v>
      </c>
      <c r="C13" s="16">
        <v>10</v>
      </c>
      <c r="D13" s="10" t="s">
        <v>12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="1" customFormat="1" ht="22" customHeight="1" spans="1:40">
      <c r="A14" s="19"/>
      <c r="B14" s="19"/>
      <c r="C14" s="19"/>
      <c r="D14" s="1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="1" customFormat="1" ht="22" customHeight="1" spans="1:40">
      <c r="A15" s="4" t="s">
        <v>18</v>
      </c>
      <c r="B15" s="4"/>
      <c r="C15" s="4"/>
      <c r="D15" s="4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="1" customFormat="1" ht="22" customHeight="1" spans="1:40">
      <c r="A16" s="14" t="s">
        <v>1</v>
      </c>
      <c r="B16" s="14" t="s">
        <v>2</v>
      </c>
      <c r="C16" s="14" t="s">
        <v>3</v>
      </c>
      <c r="D16" s="14" t="s">
        <v>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="1" customFormat="1" ht="22" customHeight="1" spans="1:40">
      <c r="A17" s="16" t="s">
        <v>19</v>
      </c>
      <c r="B17" s="16" t="s">
        <v>20</v>
      </c>
      <c r="C17" s="16">
        <v>30</v>
      </c>
      <c r="D17" s="10" t="s">
        <v>21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s="1" customFormat="1" ht="22" customHeight="1" spans="1:40">
      <c r="A18" s="16"/>
      <c r="B18" s="16" t="s">
        <v>22</v>
      </c>
      <c r="C18" s="16">
        <v>40</v>
      </c>
      <c r="D18" s="10" t="s">
        <v>21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s="1" customFormat="1" ht="22" customHeight="1" spans="1:40">
      <c r="A19" s="16"/>
      <c r="B19" s="16" t="s">
        <v>23</v>
      </c>
      <c r="C19" s="16">
        <v>30</v>
      </c>
      <c r="D19" s="10" t="s">
        <v>21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="1" customFormat="1" ht="22" customHeight="1" spans="1:40">
      <c r="A20" s="19"/>
      <c r="B20" s="19"/>
      <c r="C20" s="19"/>
      <c r="D20" s="11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 s="1" customFormat="1" ht="22" customHeight="1" spans="1:40">
      <c r="A21" s="4" t="s">
        <v>24</v>
      </c>
      <c r="B21" s="4"/>
      <c r="C21" s="4"/>
      <c r="D21" s="4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s="1" customFormat="1" ht="22" customHeight="1" spans="1:40">
      <c r="A22" s="14" t="s">
        <v>1</v>
      </c>
      <c r="B22" s="14" t="s">
        <v>2</v>
      </c>
      <c r="C22" s="14" t="s">
        <v>3</v>
      </c>
      <c r="D22" s="14" t="s">
        <v>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s="1" customFormat="1" ht="22" customHeight="1" spans="1:40">
      <c r="A23" s="16" t="s">
        <v>25</v>
      </c>
      <c r="B23" s="16" t="s">
        <v>26</v>
      </c>
      <c r="C23" s="16">
        <v>25</v>
      </c>
      <c r="D23" s="10" t="s">
        <v>27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 s="1" customFormat="1" ht="22" customHeight="1" spans="1:40">
      <c r="A24" s="16"/>
      <c r="B24" s="16" t="s">
        <v>20</v>
      </c>
      <c r="C24" s="16">
        <v>25</v>
      </c>
      <c r="D24" s="10" t="s">
        <v>27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 s="1" customFormat="1" ht="22" customHeight="1" spans="1:40">
      <c r="A25" s="16"/>
      <c r="B25" s="16" t="s">
        <v>28</v>
      </c>
      <c r="C25" s="16">
        <v>25</v>
      </c>
      <c r="D25" s="10" t="s">
        <v>27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s="1" customFormat="1" ht="22" customHeight="1" spans="1:40">
      <c r="A26" s="16"/>
      <c r="B26" s="16" t="s">
        <v>29</v>
      </c>
      <c r="C26" s="16">
        <v>25</v>
      </c>
      <c r="D26" s="10" t="s">
        <v>27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 s="1" customFormat="1" ht="22" customHeight="1" spans="1:40">
      <c r="A27" s="19"/>
      <c r="B27" s="19"/>
      <c r="C27" s="19"/>
      <c r="D27" s="11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s="1" customFormat="1" ht="22" customHeight="1" spans="1:40">
      <c r="A28" s="4" t="s">
        <v>30</v>
      </c>
      <c r="B28" s="4"/>
      <c r="C28" s="4"/>
      <c r="D28" s="4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 s="1" customFormat="1" ht="32" customHeight="1" spans="1:40">
      <c r="A29" s="14" t="s">
        <v>1</v>
      </c>
      <c r="B29" s="14" t="s">
        <v>2</v>
      </c>
      <c r="C29" s="14" t="s">
        <v>3</v>
      </c>
      <c r="D29" s="14" t="s">
        <v>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s="1" customFormat="1" ht="29" customHeight="1" spans="1:40">
      <c r="A30" s="16" t="s">
        <v>31</v>
      </c>
      <c r="B30" s="10" t="s">
        <v>32</v>
      </c>
      <c r="C30" s="16">
        <v>50</v>
      </c>
      <c r="D30" s="44" t="s">
        <v>33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</row>
    <row r="31" s="1" customFormat="1" ht="33" customHeight="1" spans="1:40">
      <c r="A31" s="16"/>
      <c r="B31" s="10" t="s">
        <v>34</v>
      </c>
      <c r="C31" s="16">
        <v>30</v>
      </c>
      <c r="D31" s="44" t="s">
        <v>35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 s="1" customFormat="1" ht="37" customHeight="1" spans="1:40">
      <c r="A32" s="16"/>
      <c r="B32" s="10" t="s">
        <v>36</v>
      </c>
      <c r="C32" s="16">
        <v>20</v>
      </c>
      <c r="D32" s="44" t="s">
        <v>37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 s="1" customFormat="1" ht="37" customHeight="1" spans="1:40">
      <c r="A33" s="19"/>
      <c r="B33" s="11"/>
      <c r="C33" s="19"/>
      <c r="D33" s="45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 s="1" customFormat="1" ht="27" customHeight="1" spans="1:40">
      <c r="A34" s="4" t="s">
        <v>38</v>
      </c>
      <c r="B34" s="4"/>
      <c r="C34" s="4"/>
      <c r="D34" s="4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 s="1" customFormat="1" ht="33" customHeight="1" spans="1:40">
      <c r="A35" s="14" t="s">
        <v>1</v>
      </c>
      <c r="B35" s="14" t="s">
        <v>2</v>
      </c>
      <c r="C35" s="14" t="s">
        <v>3</v>
      </c>
      <c r="D35" s="14" t="s">
        <v>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 s="1" customFormat="1" ht="45" customHeight="1" spans="1:40">
      <c r="A36" s="16" t="s">
        <v>39</v>
      </c>
      <c r="B36" s="16" t="s">
        <v>40</v>
      </c>
      <c r="C36" s="16">
        <v>25</v>
      </c>
      <c r="D36" s="44" t="s">
        <v>41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 s="1" customFormat="1" ht="33" customHeight="1" spans="1:40">
      <c r="A37" s="16"/>
      <c r="B37" s="16" t="s">
        <v>42</v>
      </c>
      <c r="C37" s="16">
        <v>25</v>
      </c>
      <c r="D37" s="44" t="s">
        <v>43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</row>
    <row r="38" s="1" customFormat="1" ht="36" customHeight="1" spans="1:40">
      <c r="A38" s="16"/>
      <c r="B38" s="16" t="s">
        <v>44</v>
      </c>
      <c r="C38" s="16">
        <v>25</v>
      </c>
      <c r="D38" s="44" t="s">
        <v>45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</row>
    <row r="39" s="1" customFormat="1" ht="41.25" customHeight="1" spans="1:40">
      <c r="A39" s="16"/>
      <c r="B39" s="16" t="s">
        <v>46</v>
      </c>
      <c r="C39" s="16">
        <v>25</v>
      </c>
      <c r="D39" s="44" t="s">
        <v>47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="1" customFormat="1" ht="50" customHeight="1" spans="1:40">
      <c r="A40" s="16"/>
      <c r="B40" s="10" t="s">
        <v>48</v>
      </c>
      <c r="C40" s="16" t="s">
        <v>49</v>
      </c>
      <c r="D40" s="44" t="s">
        <v>50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="1" customFormat="1" customHeight="1" spans="1:40">
      <c r="A41" s="4"/>
      <c r="B41" s="4"/>
      <c r="C41" s="4"/>
      <c r="D41" s="4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</row>
  </sheetData>
  <mergeCells count="12">
    <mergeCell ref="A1:D1"/>
    <mergeCell ref="A8:D8"/>
    <mergeCell ref="A15:D15"/>
    <mergeCell ref="A21:D21"/>
    <mergeCell ref="A28:D28"/>
    <mergeCell ref="A34:D34"/>
    <mergeCell ref="A3:A6"/>
    <mergeCell ref="A10:A13"/>
    <mergeCell ref="A17:A19"/>
    <mergeCell ref="A23:A26"/>
    <mergeCell ref="A30:A32"/>
    <mergeCell ref="A36:A4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7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S18" sqref="S18"/>
    </sheetView>
  </sheetViews>
  <sheetFormatPr defaultColWidth="9" defaultRowHeight="15.75" customHeight="1"/>
  <cols>
    <col min="1" max="1" width="17.6666666666667" style="1" customWidth="1"/>
    <col min="3" max="8" width="7.33333333333333" style="1" customWidth="1"/>
    <col min="9" max="9" width="7.66666666666667" style="1" customWidth="1"/>
    <col min="10" max="12" width="7.33333333333333" style="1" customWidth="1"/>
    <col min="13" max="13" width="8" style="1" customWidth="1"/>
    <col min="14" max="28" width="7.33333333333333" style="1" customWidth="1"/>
    <col min="29" max="29" width="8" style="1" customWidth="1"/>
    <col min="30" max="34" width="7.33333333333333" style="1" customWidth="1"/>
  </cols>
  <sheetData>
    <row r="1" ht="16.5" customHeight="1" spans="1:20">
      <c r="A1" s="47" t="s">
        <v>51</v>
      </c>
      <c r="B1" s="48" t="s">
        <v>52</v>
      </c>
      <c r="C1" s="49" t="s">
        <v>5</v>
      </c>
      <c r="D1" s="50"/>
      <c r="E1" s="50"/>
      <c r="F1" s="50"/>
      <c r="G1" s="50"/>
      <c r="H1" s="51"/>
      <c r="I1" s="49" t="s">
        <v>14</v>
      </c>
      <c r="J1" s="50"/>
      <c r="K1" s="50"/>
      <c r="L1" s="50"/>
      <c r="M1" s="50"/>
      <c r="N1" s="51"/>
      <c r="O1" s="49" t="s">
        <v>19</v>
      </c>
      <c r="P1" s="50"/>
      <c r="Q1" s="50"/>
      <c r="R1" s="50"/>
      <c r="S1" s="51"/>
    </row>
    <row r="2" s="46" customFormat="1" ht="39" customHeight="1" spans="1:20">
      <c r="A2" s="47"/>
      <c r="B2" s="48"/>
      <c r="C2" s="48" t="s">
        <v>6</v>
      </c>
      <c r="D2" s="48" t="s">
        <v>8</v>
      </c>
      <c r="E2" s="48" t="s">
        <v>9</v>
      </c>
      <c r="F2" s="48" t="s">
        <v>11</v>
      </c>
      <c r="G2" s="48" t="s">
        <v>53</v>
      </c>
      <c r="H2" s="48" t="s">
        <v>54</v>
      </c>
      <c r="I2" s="48" t="s">
        <v>15</v>
      </c>
      <c r="J2" s="48" t="s">
        <v>16</v>
      </c>
      <c r="K2" s="48" t="s">
        <v>17</v>
      </c>
      <c r="L2" s="48" t="s">
        <v>11</v>
      </c>
      <c r="M2" s="48" t="s">
        <v>53</v>
      </c>
      <c r="N2" s="48" t="s">
        <v>54</v>
      </c>
      <c r="O2" s="48" t="s">
        <v>20</v>
      </c>
      <c r="P2" s="48" t="s">
        <v>22</v>
      </c>
      <c r="Q2" s="48" t="s">
        <v>23</v>
      </c>
      <c r="R2" s="48" t="s">
        <v>53</v>
      </c>
      <c r="S2" s="48" t="s">
        <v>54</v>
      </c>
    </row>
    <row r="3" customHeight="1" spans="1:20">
      <c r="A3" s="52" t="s">
        <v>55</v>
      </c>
      <c r="B3" s="52" t="s">
        <v>56</v>
      </c>
      <c r="C3" s="53">
        <v>31.11111111</v>
      </c>
      <c r="D3" s="53">
        <v>0</v>
      </c>
      <c r="E3" s="53">
        <v>0</v>
      </c>
      <c r="F3" s="53">
        <v>0</v>
      </c>
      <c r="G3" s="53">
        <v>31.11111111</v>
      </c>
      <c r="H3" s="52">
        <f t="shared" ref="H3:H12" si="0">RANK(G3,$G$3:$G$12)</f>
        <v>5</v>
      </c>
      <c r="I3" s="52">
        <v>0</v>
      </c>
      <c r="J3" s="52">
        <v>0</v>
      </c>
      <c r="K3" s="52">
        <v>20</v>
      </c>
      <c r="L3" s="52">
        <v>0</v>
      </c>
      <c r="M3" s="52">
        <f t="shared" ref="M3:M13" si="1">SUM(I3:L3)</f>
        <v>20</v>
      </c>
      <c r="N3" s="52">
        <f t="shared" ref="N3:N12" si="2">RANK(M3,$M$3:$M$12)</f>
        <v>5</v>
      </c>
      <c r="O3" s="52">
        <v>21.07</v>
      </c>
      <c r="P3" s="52">
        <v>0</v>
      </c>
      <c r="Q3" s="52">
        <v>24</v>
      </c>
      <c r="R3" s="52">
        <f t="shared" ref="R3:R13" si="3">SUM(O3:Q3)</f>
        <v>45.07</v>
      </c>
      <c r="S3" s="52">
        <f t="shared" ref="S3:S12" si="4">RANK(R3,$R$3:$R$12)</f>
        <v>6</v>
      </c>
    </row>
    <row r="4" customHeight="1" spans="1:20">
      <c r="A4" s="52" t="s">
        <v>57</v>
      </c>
      <c r="B4" s="52" t="s">
        <v>58</v>
      </c>
      <c r="C4" s="53">
        <v>27.77777778</v>
      </c>
      <c r="D4" s="53">
        <v>31.57894737</v>
      </c>
      <c r="E4" s="53">
        <v>0</v>
      </c>
      <c r="F4" s="53">
        <v>0</v>
      </c>
      <c r="G4" s="53">
        <v>59.35672515</v>
      </c>
      <c r="H4" s="52">
        <f t="shared" si="0"/>
        <v>2</v>
      </c>
      <c r="I4" s="52">
        <v>50</v>
      </c>
      <c r="J4" s="52">
        <v>0</v>
      </c>
      <c r="K4" s="52">
        <v>20</v>
      </c>
      <c r="L4" s="52">
        <v>0</v>
      </c>
      <c r="M4" s="52">
        <f t="shared" si="1"/>
        <v>70</v>
      </c>
      <c r="N4" s="52">
        <f t="shared" si="2"/>
        <v>2</v>
      </c>
      <c r="O4" s="52">
        <v>36</v>
      </c>
      <c r="P4" s="52">
        <v>0</v>
      </c>
      <c r="Q4" s="52">
        <v>28.33</v>
      </c>
      <c r="R4" s="52">
        <f t="shared" si="3"/>
        <v>64.33</v>
      </c>
      <c r="S4" s="52">
        <f t="shared" si="4"/>
        <v>1</v>
      </c>
    </row>
    <row r="5" customHeight="1" spans="1:20">
      <c r="A5" s="52" t="s">
        <v>59</v>
      </c>
      <c r="B5" s="52" t="s">
        <v>60</v>
      </c>
      <c r="C5" s="53">
        <v>28.75</v>
      </c>
      <c r="D5" s="53">
        <v>0</v>
      </c>
      <c r="E5" s="53">
        <v>0</v>
      </c>
      <c r="F5" s="53">
        <v>0</v>
      </c>
      <c r="G5" s="53">
        <v>28.75</v>
      </c>
      <c r="H5" s="52">
        <f t="shared" si="0"/>
        <v>6</v>
      </c>
      <c r="I5" s="52">
        <v>0</v>
      </c>
      <c r="J5" s="52">
        <v>0</v>
      </c>
      <c r="K5" s="52">
        <v>0</v>
      </c>
      <c r="L5" s="52">
        <v>0</v>
      </c>
      <c r="M5" s="52">
        <f t="shared" si="1"/>
        <v>0</v>
      </c>
      <c r="N5" s="52">
        <f t="shared" si="2"/>
        <v>7</v>
      </c>
      <c r="O5" s="52">
        <v>0</v>
      </c>
      <c r="P5" s="52">
        <v>0</v>
      </c>
      <c r="Q5" s="52">
        <v>29.59</v>
      </c>
      <c r="R5" s="52">
        <f t="shared" si="3"/>
        <v>29.59</v>
      </c>
      <c r="S5" s="52">
        <f t="shared" si="4"/>
        <v>7</v>
      </c>
    </row>
    <row r="6" customHeight="1" spans="1:20">
      <c r="A6" s="52" t="s">
        <v>61</v>
      </c>
      <c r="B6" s="52" t="s">
        <v>62</v>
      </c>
      <c r="C6" s="53">
        <v>23.63636364</v>
      </c>
      <c r="D6" s="53">
        <v>0</v>
      </c>
      <c r="E6" s="53">
        <v>0</v>
      </c>
      <c r="F6" s="53">
        <v>0</v>
      </c>
      <c r="G6" s="53">
        <v>23.63636364</v>
      </c>
      <c r="H6" s="52">
        <f t="shared" si="0"/>
        <v>8</v>
      </c>
      <c r="I6" s="52">
        <v>0</v>
      </c>
      <c r="J6" s="52">
        <v>0</v>
      </c>
      <c r="K6" s="52">
        <v>0</v>
      </c>
      <c r="L6" s="52">
        <v>0</v>
      </c>
      <c r="M6" s="52">
        <f t="shared" si="1"/>
        <v>0</v>
      </c>
      <c r="N6" s="52">
        <f t="shared" si="2"/>
        <v>7</v>
      </c>
      <c r="O6" s="52">
        <v>22.09</v>
      </c>
      <c r="P6" s="52">
        <v>0</v>
      </c>
      <c r="Q6" s="52">
        <v>29.09</v>
      </c>
      <c r="R6" s="52">
        <f t="shared" si="3"/>
        <v>51.18</v>
      </c>
      <c r="S6" s="52">
        <f t="shared" si="4"/>
        <v>3</v>
      </c>
    </row>
    <row r="7" customHeight="1" spans="1:20">
      <c r="A7" s="52" t="s">
        <v>63</v>
      </c>
      <c r="B7" s="52" t="s">
        <v>64</v>
      </c>
      <c r="C7" s="53">
        <v>35</v>
      </c>
      <c r="D7" s="53">
        <v>28.10810811</v>
      </c>
      <c r="E7" s="53">
        <v>0</v>
      </c>
      <c r="F7" s="53">
        <v>0</v>
      </c>
      <c r="G7" s="53">
        <v>63.10810811</v>
      </c>
      <c r="H7" s="52">
        <f t="shared" si="0"/>
        <v>1</v>
      </c>
      <c r="I7" s="52">
        <v>0</v>
      </c>
      <c r="J7" s="52">
        <v>0</v>
      </c>
      <c r="K7" s="52">
        <v>24</v>
      </c>
      <c r="L7" s="52">
        <v>0</v>
      </c>
      <c r="M7" s="52">
        <f t="shared" si="1"/>
        <v>24</v>
      </c>
      <c r="N7" s="52">
        <f t="shared" si="2"/>
        <v>4</v>
      </c>
      <c r="O7" s="52">
        <v>20.87</v>
      </c>
      <c r="P7" s="52">
        <v>0</v>
      </c>
      <c r="Q7" s="52">
        <v>25.56</v>
      </c>
      <c r="R7" s="52">
        <f t="shared" si="3"/>
        <v>46.43</v>
      </c>
      <c r="S7" s="52">
        <f t="shared" si="4"/>
        <v>5</v>
      </c>
    </row>
    <row r="8" customHeight="1" spans="1:20">
      <c r="A8" s="52" t="s">
        <v>65</v>
      </c>
      <c r="B8" s="52" t="s">
        <v>66</v>
      </c>
      <c r="C8" s="53">
        <v>0</v>
      </c>
      <c r="D8" s="53">
        <v>0</v>
      </c>
      <c r="E8" s="53">
        <v>0</v>
      </c>
      <c r="F8" s="53">
        <v>0</v>
      </c>
      <c r="G8" s="53">
        <v>0</v>
      </c>
      <c r="H8" s="52">
        <f t="shared" si="0"/>
        <v>9</v>
      </c>
      <c r="I8" s="52">
        <v>0</v>
      </c>
      <c r="J8" s="52">
        <v>0</v>
      </c>
      <c r="K8" s="52">
        <v>0</v>
      </c>
      <c r="L8" s="52">
        <v>0</v>
      </c>
      <c r="M8" s="52">
        <f t="shared" si="1"/>
        <v>0</v>
      </c>
      <c r="N8" s="52">
        <f t="shared" si="2"/>
        <v>7</v>
      </c>
      <c r="O8" s="52">
        <v>21.26</v>
      </c>
      <c r="P8" s="52">
        <v>0</v>
      </c>
      <c r="Q8" s="52">
        <v>25.71</v>
      </c>
      <c r="R8" s="52">
        <f t="shared" si="3"/>
        <v>46.97</v>
      </c>
      <c r="S8" s="52">
        <f t="shared" si="4"/>
        <v>4</v>
      </c>
    </row>
    <row r="9" customHeight="1" spans="1:20">
      <c r="A9" s="52" t="s">
        <v>67</v>
      </c>
      <c r="B9" s="52" t="s">
        <v>68</v>
      </c>
      <c r="C9" s="53">
        <v>36</v>
      </c>
      <c r="D9" s="53">
        <v>0</v>
      </c>
      <c r="E9" s="53">
        <v>0</v>
      </c>
      <c r="F9" s="53">
        <v>0</v>
      </c>
      <c r="G9" s="53">
        <v>36</v>
      </c>
      <c r="H9" s="52">
        <f t="shared" si="0"/>
        <v>3</v>
      </c>
      <c r="I9" s="52">
        <v>50</v>
      </c>
      <c r="J9" s="52">
        <v>0</v>
      </c>
      <c r="K9" s="52">
        <v>24</v>
      </c>
      <c r="L9" s="52">
        <v>0</v>
      </c>
      <c r="M9" s="52">
        <f t="shared" si="1"/>
        <v>74</v>
      </c>
      <c r="N9" s="52">
        <f t="shared" si="2"/>
        <v>1</v>
      </c>
      <c r="O9" s="52">
        <v>23.55</v>
      </c>
      <c r="P9" s="52">
        <v>0</v>
      </c>
      <c r="Q9" s="52">
        <v>30</v>
      </c>
      <c r="R9" s="52">
        <f t="shared" si="3"/>
        <v>53.55</v>
      </c>
      <c r="S9" s="52">
        <f t="shared" si="4"/>
        <v>2</v>
      </c>
    </row>
    <row r="10" customHeight="1" spans="1:20">
      <c r="A10" s="52" t="s">
        <v>69</v>
      </c>
      <c r="B10" s="52" t="s">
        <v>70</v>
      </c>
      <c r="C10" s="53">
        <v>26.66666667</v>
      </c>
      <c r="D10" s="53">
        <v>0</v>
      </c>
      <c r="E10" s="53">
        <v>0</v>
      </c>
      <c r="F10" s="53">
        <v>0</v>
      </c>
      <c r="G10" s="53">
        <v>26.66666667</v>
      </c>
      <c r="H10" s="52">
        <f t="shared" si="0"/>
        <v>7</v>
      </c>
      <c r="I10" s="52">
        <v>33.33</v>
      </c>
      <c r="J10" s="52">
        <v>0</v>
      </c>
      <c r="K10" s="52">
        <v>0</v>
      </c>
      <c r="L10" s="52">
        <v>0</v>
      </c>
      <c r="M10" s="52">
        <f t="shared" si="1"/>
        <v>33.33</v>
      </c>
      <c r="N10" s="52">
        <f t="shared" si="2"/>
        <v>3</v>
      </c>
      <c r="O10" s="52">
        <v>0</v>
      </c>
      <c r="P10" s="52">
        <v>0</v>
      </c>
      <c r="Q10" s="52">
        <v>25.71</v>
      </c>
      <c r="R10" s="52">
        <f t="shared" si="3"/>
        <v>25.71</v>
      </c>
      <c r="S10" s="52">
        <f t="shared" si="4"/>
        <v>10</v>
      </c>
    </row>
    <row r="11" customHeight="1" spans="1:20">
      <c r="A11" s="52" t="s">
        <v>71</v>
      </c>
      <c r="B11" s="52" t="s">
        <v>72</v>
      </c>
      <c r="C11" s="53"/>
      <c r="D11" s="53"/>
      <c r="E11" s="53"/>
      <c r="F11" s="53"/>
      <c r="G11" s="53">
        <v>0</v>
      </c>
      <c r="H11" s="52">
        <f t="shared" si="0"/>
        <v>9</v>
      </c>
      <c r="I11" s="52">
        <v>0</v>
      </c>
      <c r="J11" s="52">
        <v>0</v>
      </c>
      <c r="K11" s="52">
        <v>0</v>
      </c>
      <c r="L11" s="52">
        <v>0</v>
      </c>
      <c r="M11" s="52">
        <f t="shared" si="1"/>
        <v>0</v>
      </c>
      <c r="N11" s="52">
        <f t="shared" si="2"/>
        <v>7</v>
      </c>
      <c r="O11" s="52">
        <v>0</v>
      </c>
      <c r="P11" s="52">
        <v>0</v>
      </c>
      <c r="Q11" s="52">
        <v>28.42</v>
      </c>
      <c r="R11" s="52">
        <f t="shared" si="3"/>
        <v>28.42</v>
      </c>
      <c r="S11" s="52">
        <f t="shared" si="4"/>
        <v>9</v>
      </c>
    </row>
    <row r="12" customHeight="1" spans="1:20">
      <c r="A12" s="52" t="s">
        <v>73</v>
      </c>
      <c r="B12" s="52" t="s">
        <v>74</v>
      </c>
      <c r="C12" s="53">
        <v>36</v>
      </c>
      <c r="D12" s="53">
        <v>0</v>
      </c>
      <c r="E12" s="53">
        <v>0</v>
      </c>
      <c r="F12" s="53">
        <v>0</v>
      </c>
      <c r="G12" s="53">
        <v>36</v>
      </c>
      <c r="H12" s="52">
        <f t="shared" si="0"/>
        <v>3</v>
      </c>
      <c r="I12" s="52">
        <v>0</v>
      </c>
      <c r="J12" s="52">
        <v>0</v>
      </c>
      <c r="K12" s="52">
        <v>18.33</v>
      </c>
      <c r="L12" s="52">
        <v>0</v>
      </c>
      <c r="M12" s="52">
        <f t="shared" si="1"/>
        <v>18.33</v>
      </c>
      <c r="N12" s="52">
        <f t="shared" si="2"/>
        <v>6</v>
      </c>
      <c r="O12" s="52">
        <v>0</v>
      </c>
      <c r="P12" s="52">
        <v>0</v>
      </c>
      <c r="Q12" s="52">
        <v>28.65</v>
      </c>
      <c r="R12" s="52">
        <f t="shared" si="3"/>
        <v>28.65</v>
      </c>
      <c r="S12" s="52">
        <f t="shared" si="4"/>
        <v>8</v>
      </c>
    </row>
    <row r="13" customHeight="1" spans="1:20">
      <c r="A13" s="52" t="s">
        <v>75</v>
      </c>
      <c r="B13" s="54" t="s">
        <v>76</v>
      </c>
      <c r="C13" s="55">
        <v>31</v>
      </c>
      <c r="D13" s="56">
        <v>0</v>
      </c>
      <c r="E13" s="56">
        <v>0</v>
      </c>
      <c r="F13" s="56">
        <v>0</v>
      </c>
      <c r="G13" s="56">
        <f>SUM(C13:F13)</f>
        <v>31</v>
      </c>
      <c r="H13" s="54"/>
      <c r="I13" s="56">
        <v>25.49</v>
      </c>
      <c r="J13" s="56">
        <v>0.69</v>
      </c>
      <c r="K13" s="56">
        <v>15.24</v>
      </c>
      <c r="L13" s="56">
        <v>0</v>
      </c>
      <c r="M13" s="56">
        <f t="shared" si="1"/>
        <v>41.42</v>
      </c>
      <c r="N13" s="57"/>
      <c r="O13" s="56">
        <v>20.01</v>
      </c>
      <c r="P13" s="56">
        <v>12.95</v>
      </c>
      <c r="Q13" s="56">
        <v>28.15</v>
      </c>
      <c r="R13" s="56">
        <f t="shared" si="3"/>
        <v>61.11</v>
      </c>
      <c r="S13" s="54"/>
    </row>
    <row r="15" ht="16.5" customHeight="1" spans="1:20">
      <c r="A15" s="47" t="s">
        <v>51</v>
      </c>
      <c r="B15" s="48" t="s">
        <v>52</v>
      </c>
      <c r="C15" s="48" t="s">
        <v>25</v>
      </c>
      <c r="D15" s="48"/>
      <c r="E15" s="48"/>
      <c r="F15" s="48"/>
      <c r="G15" s="48"/>
      <c r="H15" s="48"/>
      <c r="I15" s="48" t="s">
        <v>31</v>
      </c>
      <c r="J15" s="48"/>
      <c r="K15" s="48"/>
      <c r="L15" s="48"/>
      <c r="M15" s="48"/>
      <c r="N15" s="56" t="s">
        <v>39</v>
      </c>
      <c r="O15" s="56"/>
      <c r="P15" s="56"/>
      <c r="Q15" s="56"/>
      <c r="R15" s="56"/>
      <c r="S15" s="56"/>
      <c r="T15" s="56"/>
    </row>
    <row r="16" ht="49.5" customHeight="1" spans="1:20">
      <c r="A16" s="47"/>
      <c r="B16" s="48"/>
      <c r="C16" s="48" t="s">
        <v>26</v>
      </c>
      <c r="D16" s="48" t="s">
        <v>20</v>
      </c>
      <c r="E16" s="48" t="s">
        <v>28</v>
      </c>
      <c r="F16" s="48" t="s">
        <v>29</v>
      </c>
      <c r="G16" s="48" t="s">
        <v>53</v>
      </c>
      <c r="H16" s="48" t="s">
        <v>54</v>
      </c>
      <c r="I16" s="48" t="s">
        <v>32</v>
      </c>
      <c r="J16" s="48" t="s">
        <v>34</v>
      </c>
      <c r="K16" s="48" t="s">
        <v>36</v>
      </c>
      <c r="L16" s="48" t="s">
        <v>53</v>
      </c>
      <c r="M16" s="48" t="s">
        <v>54</v>
      </c>
      <c r="N16" s="48" t="s">
        <v>40</v>
      </c>
      <c r="O16" s="48" t="s">
        <v>42</v>
      </c>
      <c r="P16" s="48" t="s">
        <v>44</v>
      </c>
      <c r="Q16" s="48" t="s">
        <v>46</v>
      </c>
      <c r="R16" s="48" t="s">
        <v>49</v>
      </c>
      <c r="S16" s="48" t="s">
        <v>53</v>
      </c>
      <c r="T16" s="48" t="s">
        <v>54</v>
      </c>
    </row>
    <row r="17" customHeight="1" spans="1:20">
      <c r="A17" s="52" t="s">
        <v>55</v>
      </c>
      <c r="B17" s="52" t="s">
        <v>56</v>
      </c>
      <c r="C17" s="58">
        <v>14.06</v>
      </c>
      <c r="D17" s="58">
        <v>15.81</v>
      </c>
      <c r="E17" s="58">
        <v>22.86</v>
      </c>
      <c r="F17" s="58">
        <v>10.29</v>
      </c>
      <c r="G17" s="52">
        <f t="shared" ref="G17:G27" si="5">SUM(C17:F17)</f>
        <v>63.02</v>
      </c>
      <c r="H17" s="52">
        <f t="shared" ref="H17:H26" si="6">RANK(G17,$G$17:$G$26)</f>
        <v>10</v>
      </c>
      <c r="I17" s="58">
        <v>60</v>
      </c>
      <c r="J17" s="58">
        <v>21.7</v>
      </c>
      <c r="K17" s="58">
        <v>20</v>
      </c>
      <c r="L17" s="52">
        <f t="shared" ref="L17:L27" si="7">SUM(I17:K17)</f>
        <v>101.7</v>
      </c>
      <c r="M17" s="52">
        <f t="shared" ref="M17:M26" si="8">RANK(L17,$L$17:$L$26)</f>
        <v>2</v>
      </c>
      <c r="N17" s="59">
        <v>7.51</v>
      </c>
      <c r="O17" s="59">
        <v>25</v>
      </c>
      <c r="P17" s="59">
        <v>25</v>
      </c>
      <c r="Q17" s="59">
        <v>25</v>
      </c>
      <c r="R17" s="59">
        <v>-7</v>
      </c>
      <c r="S17" s="52">
        <f>SUM(N17:R17)</f>
        <v>75.51</v>
      </c>
      <c r="T17" s="52">
        <f t="shared" ref="T17:T26" si="9">RANK(S17,$S$17:$S$26)</f>
        <v>7</v>
      </c>
    </row>
    <row r="18" customHeight="1" spans="1:20">
      <c r="A18" s="52" t="s">
        <v>57</v>
      </c>
      <c r="B18" s="52" t="s">
        <v>58</v>
      </c>
      <c r="C18" s="58">
        <v>16.51</v>
      </c>
      <c r="D18" s="58">
        <v>14.46</v>
      </c>
      <c r="E18" s="58">
        <v>22.66</v>
      </c>
      <c r="F18" s="58">
        <v>25</v>
      </c>
      <c r="G18" s="52">
        <f t="shared" si="5"/>
        <v>78.63</v>
      </c>
      <c r="H18" s="52">
        <f t="shared" si="6"/>
        <v>5</v>
      </c>
      <c r="I18" s="58">
        <v>60</v>
      </c>
      <c r="J18" s="58">
        <v>29.2</v>
      </c>
      <c r="K18" s="58">
        <v>20</v>
      </c>
      <c r="L18" s="52">
        <f t="shared" si="7"/>
        <v>109.2</v>
      </c>
      <c r="M18" s="52">
        <f t="shared" si="8"/>
        <v>1</v>
      </c>
      <c r="N18" s="59">
        <v>9.53</v>
      </c>
      <c r="O18" s="59">
        <v>25</v>
      </c>
      <c r="P18" s="59">
        <v>25</v>
      </c>
      <c r="Q18" s="59">
        <v>25</v>
      </c>
      <c r="R18" s="59">
        <v>-6</v>
      </c>
      <c r="S18" s="52">
        <f t="shared" ref="S17:S27" si="10">SUM(N18:R18)</f>
        <v>78.53</v>
      </c>
      <c r="T18" s="52">
        <f t="shared" si="9"/>
        <v>5</v>
      </c>
    </row>
    <row r="19" customHeight="1" spans="1:20">
      <c r="A19" s="52" t="s">
        <v>59</v>
      </c>
      <c r="B19" s="52" t="s">
        <v>60</v>
      </c>
      <c r="C19" s="58">
        <v>13.6</v>
      </c>
      <c r="D19" s="58">
        <v>17.96</v>
      </c>
      <c r="E19" s="58">
        <v>25.59</v>
      </c>
      <c r="F19" s="58">
        <v>21.91</v>
      </c>
      <c r="G19" s="52">
        <f t="shared" si="5"/>
        <v>79.06</v>
      </c>
      <c r="H19" s="52">
        <f t="shared" si="6"/>
        <v>4</v>
      </c>
      <c r="I19" s="58">
        <v>40.7</v>
      </c>
      <c r="J19" s="58">
        <v>26.8</v>
      </c>
      <c r="K19" s="58">
        <v>20</v>
      </c>
      <c r="L19" s="52">
        <f t="shared" si="7"/>
        <v>87.5</v>
      </c>
      <c r="M19" s="52">
        <f t="shared" si="8"/>
        <v>7</v>
      </c>
      <c r="N19" s="59">
        <v>10.45</v>
      </c>
      <c r="O19" s="59">
        <v>25</v>
      </c>
      <c r="P19" s="59">
        <v>25</v>
      </c>
      <c r="Q19" s="59">
        <v>25</v>
      </c>
      <c r="R19" s="59">
        <v>-1</v>
      </c>
      <c r="S19" s="52">
        <f t="shared" si="10"/>
        <v>84.45</v>
      </c>
      <c r="T19" s="52">
        <f t="shared" si="9"/>
        <v>3</v>
      </c>
    </row>
    <row r="20" customHeight="1" spans="1:20">
      <c r="A20" s="52" t="s">
        <v>61</v>
      </c>
      <c r="B20" s="52" t="s">
        <v>62</v>
      </c>
      <c r="C20" s="58">
        <v>15.33</v>
      </c>
      <c r="D20" s="58">
        <v>13.83</v>
      </c>
      <c r="E20" s="58">
        <v>22.81</v>
      </c>
      <c r="F20" s="58">
        <v>28.07</v>
      </c>
      <c r="G20" s="52">
        <f t="shared" si="5"/>
        <v>80.04</v>
      </c>
      <c r="H20" s="52">
        <f t="shared" si="6"/>
        <v>3</v>
      </c>
      <c r="I20" s="58">
        <v>53.7</v>
      </c>
      <c r="J20" s="58">
        <v>21.3</v>
      </c>
      <c r="K20" s="58">
        <v>20</v>
      </c>
      <c r="L20" s="52">
        <f t="shared" si="7"/>
        <v>95</v>
      </c>
      <c r="M20" s="52">
        <f t="shared" si="8"/>
        <v>5</v>
      </c>
      <c r="N20" s="59">
        <v>12.6</v>
      </c>
      <c r="O20" s="59">
        <v>25</v>
      </c>
      <c r="P20" s="59">
        <v>25</v>
      </c>
      <c r="Q20" s="59">
        <v>25</v>
      </c>
      <c r="R20" s="59">
        <v>-2</v>
      </c>
      <c r="S20" s="52">
        <f t="shared" si="10"/>
        <v>85.6</v>
      </c>
      <c r="T20" s="52">
        <f t="shared" si="9"/>
        <v>2</v>
      </c>
    </row>
    <row r="21" customHeight="1" spans="1:20">
      <c r="A21" s="52" t="s">
        <v>63</v>
      </c>
      <c r="B21" s="52" t="s">
        <v>64</v>
      </c>
      <c r="C21" s="58">
        <v>10.36</v>
      </c>
      <c r="D21" s="58">
        <v>15.99</v>
      </c>
      <c r="E21" s="58">
        <v>18.01</v>
      </c>
      <c r="F21" s="58">
        <v>30</v>
      </c>
      <c r="G21" s="52">
        <f t="shared" si="5"/>
        <v>74.36</v>
      </c>
      <c r="H21" s="52">
        <f t="shared" si="6"/>
        <v>6</v>
      </c>
      <c r="I21" s="58">
        <v>60</v>
      </c>
      <c r="J21" s="58">
        <v>25.5</v>
      </c>
      <c r="K21" s="58">
        <v>15.6</v>
      </c>
      <c r="L21" s="52">
        <f t="shared" si="7"/>
        <v>101.1</v>
      </c>
      <c r="M21" s="52">
        <f t="shared" si="8"/>
        <v>3</v>
      </c>
      <c r="N21" s="59">
        <v>5.66</v>
      </c>
      <c r="O21" s="59">
        <v>25</v>
      </c>
      <c r="P21" s="59">
        <v>10</v>
      </c>
      <c r="Q21" s="59">
        <v>25</v>
      </c>
      <c r="R21" s="59">
        <v>-10</v>
      </c>
      <c r="S21" s="52">
        <f t="shared" si="10"/>
        <v>55.66</v>
      </c>
      <c r="T21" s="52">
        <f t="shared" si="9"/>
        <v>10</v>
      </c>
    </row>
    <row r="22" customHeight="1" spans="1:20">
      <c r="A22" s="52" t="s">
        <v>65</v>
      </c>
      <c r="B22" s="52" t="s">
        <v>66</v>
      </c>
      <c r="C22" s="58">
        <v>16.47</v>
      </c>
      <c r="D22" s="58">
        <v>18.69</v>
      </c>
      <c r="E22" s="58">
        <v>28.2</v>
      </c>
      <c r="F22" s="58">
        <v>30</v>
      </c>
      <c r="G22" s="52">
        <f t="shared" si="5"/>
        <v>93.36</v>
      </c>
      <c r="H22" s="52">
        <f t="shared" si="6"/>
        <v>1</v>
      </c>
      <c r="I22" s="58">
        <v>47.5</v>
      </c>
      <c r="J22" s="58">
        <v>19.2</v>
      </c>
      <c r="K22" s="58">
        <v>20</v>
      </c>
      <c r="L22" s="52">
        <f t="shared" si="7"/>
        <v>86.7</v>
      </c>
      <c r="M22" s="52">
        <f t="shared" si="8"/>
        <v>8</v>
      </c>
      <c r="N22" s="59">
        <v>15.31</v>
      </c>
      <c r="O22" s="59">
        <v>25</v>
      </c>
      <c r="P22" s="59">
        <v>20</v>
      </c>
      <c r="Q22" s="59">
        <v>25</v>
      </c>
      <c r="R22" s="59">
        <v>-4</v>
      </c>
      <c r="S22" s="52">
        <f t="shared" si="10"/>
        <v>81.31</v>
      </c>
      <c r="T22" s="52">
        <f t="shared" si="9"/>
        <v>4</v>
      </c>
    </row>
    <row r="23" customHeight="1" spans="1:20">
      <c r="A23" s="52" t="s">
        <v>67</v>
      </c>
      <c r="B23" s="52" t="s">
        <v>68</v>
      </c>
      <c r="C23" s="58">
        <v>18.45</v>
      </c>
      <c r="D23" s="58">
        <v>8.93</v>
      </c>
      <c r="E23" s="58">
        <v>22.92</v>
      </c>
      <c r="F23" s="58">
        <v>13.1</v>
      </c>
      <c r="G23" s="52">
        <f t="shared" si="5"/>
        <v>63.4</v>
      </c>
      <c r="H23" s="52">
        <f t="shared" si="6"/>
        <v>9</v>
      </c>
      <c r="I23" s="58">
        <v>19.1</v>
      </c>
      <c r="J23" s="58">
        <v>19.6</v>
      </c>
      <c r="K23" s="58">
        <v>20</v>
      </c>
      <c r="L23" s="52">
        <f t="shared" si="7"/>
        <v>58.7</v>
      </c>
      <c r="M23" s="52">
        <f t="shared" si="8"/>
        <v>9</v>
      </c>
      <c r="N23" s="59">
        <v>2.6</v>
      </c>
      <c r="O23" s="59">
        <v>25</v>
      </c>
      <c r="P23" s="59">
        <v>25</v>
      </c>
      <c r="Q23" s="59">
        <v>25</v>
      </c>
      <c r="R23" s="59">
        <v>-3</v>
      </c>
      <c r="S23" s="52">
        <f t="shared" si="10"/>
        <v>74.6</v>
      </c>
      <c r="T23" s="52">
        <f t="shared" si="9"/>
        <v>9</v>
      </c>
    </row>
    <row r="24" customHeight="1" spans="1:20">
      <c r="A24" s="52" t="s">
        <v>69</v>
      </c>
      <c r="B24" s="52" t="s">
        <v>70</v>
      </c>
      <c r="C24" s="58">
        <v>15.53</v>
      </c>
      <c r="D24" s="58">
        <v>18.15</v>
      </c>
      <c r="E24" s="58">
        <v>29.19</v>
      </c>
      <c r="F24" s="58">
        <v>30</v>
      </c>
      <c r="G24" s="52">
        <f t="shared" si="5"/>
        <v>92.87</v>
      </c>
      <c r="H24" s="52">
        <f t="shared" si="6"/>
        <v>2</v>
      </c>
      <c r="I24" s="58">
        <v>20.7</v>
      </c>
      <c r="J24" s="58">
        <v>16.7</v>
      </c>
      <c r="K24" s="58">
        <v>20</v>
      </c>
      <c r="L24" s="52">
        <f t="shared" si="7"/>
        <v>57.4</v>
      </c>
      <c r="M24" s="52">
        <f t="shared" si="8"/>
        <v>10</v>
      </c>
      <c r="N24" s="59">
        <v>12.38</v>
      </c>
      <c r="O24" s="59">
        <v>25</v>
      </c>
      <c r="P24" s="59">
        <v>25</v>
      </c>
      <c r="Q24" s="59">
        <v>25</v>
      </c>
      <c r="R24" s="59"/>
      <c r="S24" s="52">
        <f t="shared" si="10"/>
        <v>87.38</v>
      </c>
      <c r="T24" s="52">
        <f t="shared" si="9"/>
        <v>1</v>
      </c>
    </row>
    <row r="25" customHeight="1" spans="1:20">
      <c r="A25" s="52" t="s">
        <v>71</v>
      </c>
      <c r="B25" s="52" t="s">
        <v>72</v>
      </c>
      <c r="C25" s="58">
        <v>12.25</v>
      </c>
      <c r="D25" s="58">
        <v>17.59</v>
      </c>
      <c r="E25" s="58">
        <v>16.9</v>
      </c>
      <c r="F25" s="58">
        <v>27.47</v>
      </c>
      <c r="G25" s="52">
        <f t="shared" si="5"/>
        <v>74.21</v>
      </c>
      <c r="H25" s="52">
        <f t="shared" si="6"/>
        <v>7</v>
      </c>
      <c r="I25" s="58">
        <v>60</v>
      </c>
      <c r="J25" s="58">
        <v>15.8</v>
      </c>
      <c r="K25" s="58">
        <v>15.1</v>
      </c>
      <c r="L25" s="52">
        <f t="shared" si="7"/>
        <v>90.9</v>
      </c>
      <c r="M25" s="52">
        <f t="shared" si="8"/>
        <v>6</v>
      </c>
      <c r="N25" s="59">
        <v>3.6</v>
      </c>
      <c r="O25" s="59">
        <v>25</v>
      </c>
      <c r="P25" s="59">
        <v>25</v>
      </c>
      <c r="Q25" s="59">
        <v>25</v>
      </c>
      <c r="R25" s="59">
        <v>-3</v>
      </c>
      <c r="S25" s="52">
        <f t="shared" si="10"/>
        <v>75.6</v>
      </c>
      <c r="T25" s="52">
        <f t="shared" si="9"/>
        <v>6</v>
      </c>
    </row>
    <row r="26" customHeight="1" spans="1:20">
      <c r="A26" s="52" t="s">
        <v>73</v>
      </c>
      <c r="B26" s="52" t="s">
        <v>74</v>
      </c>
      <c r="C26" s="58">
        <v>8.35</v>
      </c>
      <c r="D26" s="58">
        <v>22.3</v>
      </c>
      <c r="E26" s="58">
        <v>16.85</v>
      </c>
      <c r="F26" s="58">
        <v>22.84</v>
      </c>
      <c r="G26" s="52">
        <f t="shared" si="5"/>
        <v>70.34</v>
      </c>
      <c r="H26" s="52">
        <f t="shared" si="6"/>
        <v>8</v>
      </c>
      <c r="I26" s="58">
        <v>60</v>
      </c>
      <c r="J26" s="58">
        <v>15.7</v>
      </c>
      <c r="K26" s="58">
        <v>20</v>
      </c>
      <c r="L26" s="52">
        <f t="shared" si="7"/>
        <v>95.7</v>
      </c>
      <c r="M26" s="52">
        <f t="shared" si="8"/>
        <v>4</v>
      </c>
      <c r="N26" s="59">
        <v>12.44</v>
      </c>
      <c r="O26" s="59">
        <v>25</v>
      </c>
      <c r="P26" s="59">
        <v>20</v>
      </c>
      <c r="Q26" s="59">
        <v>25</v>
      </c>
      <c r="R26" s="59">
        <v>-7</v>
      </c>
      <c r="S26" s="52">
        <f t="shared" si="10"/>
        <v>75.44</v>
      </c>
      <c r="T26" s="52">
        <f t="shared" si="9"/>
        <v>8</v>
      </c>
    </row>
    <row r="27" ht="18" customHeight="1" spans="1:20">
      <c r="A27" s="52" t="s">
        <v>75</v>
      </c>
      <c r="B27" s="56" t="s">
        <v>76</v>
      </c>
      <c r="C27" s="60">
        <v>13.66</v>
      </c>
      <c r="D27" s="60">
        <v>16.46</v>
      </c>
      <c r="E27" s="60">
        <v>21.83</v>
      </c>
      <c r="F27" s="60">
        <v>28.26</v>
      </c>
      <c r="G27" s="56">
        <f t="shared" si="5"/>
        <v>80.21</v>
      </c>
      <c r="H27" s="60"/>
      <c r="I27" s="60">
        <v>57</v>
      </c>
      <c r="J27" s="60">
        <v>22.3</v>
      </c>
      <c r="K27" s="60">
        <v>20</v>
      </c>
      <c r="L27" s="56">
        <f t="shared" si="7"/>
        <v>99.3</v>
      </c>
      <c r="M27" s="60"/>
      <c r="N27" s="61">
        <f>AVERAGEA(N17:N26)</f>
        <v>9.208</v>
      </c>
      <c r="O27" s="61">
        <f>AVERAGEA(O17:O26)</f>
        <v>25</v>
      </c>
      <c r="P27" s="61">
        <f>AVERAGEA(P17:P26)</f>
        <v>22.5</v>
      </c>
      <c r="Q27" s="61">
        <f>AVERAGEA(Q17:Q26)</f>
        <v>25</v>
      </c>
      <c r="R27" s="61">
        <f>AVERAGEA(R17:R26)</f>
        <v>-4.77777777777778</v>
      </c>
      <c r="S27" s="56">
        <f t="shared" si="10"/>
        <v>76.9302222222222</v>
      </c>
      <c r="T27" s="60"/>
    </row>
  </sheetData>
  <mergeCells count="10">
    <mergeCell ref="C1:H1"/>
    <mergeCell ref="I1:N1"/>
    <mergeCell ref="O1:S1"/>
    <mergeCell ref="C15:H15"/>
    <mergeCell ref="I15:M15"/>
    <mergeCell ref="N15:T15"/>
    <mergeCell ref="A1:A2"/>
    <mergeCell ref="A15:A16"/>
    <mergeCell ref="B1:B2"/>
    <mergeCell ref="B15:B16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outlinePr summaryBelow="0" summaryRight="0"/>
  </sheetPr>
  <dimension ref="A1:AN38"/>
  <sheetViews>
    <sheetView workbookViewId="0">
      <selection activeCell="A1" sqref="A1:D1"/>
    </sheetView>
  </sheetViews>
  <sheetFormatPr defaultColWidth="8.83333333333333" defaultRowHeight="14" customHeight="1"/>
  <cols>
    <col min="1" max="1" width="31.8333333333333" style="2" customWidth="1"/>
    <col min="2" max="2" width="23.6666666666667" style="2" customWidth="1"/>
    <col min="3" max="3" width="9.33333333333333" style="3" customWidth="1"/>
    <col min="4" max="4" width="61.6287878787879" style="2" customWidth="1"/>
    <col min="5" max="40" width="8.83333333333333" style="3"/>
  </cols>
  <sheetData>
    <row r="1" s="1" customFormat="1" ht="24" customHeight="1" spans="1:40">
      <c r="A1" s="4" t="s">
        <v>0</v>
      </c>
      <c r="B1" s="4"/>
      <c r="C1" s="4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="1" customFormat="1" ht="27" customHeight="1" spans="1:40">
      <c r="A2" s="14" t="s">
        <v>1</v>
      </c>
      <c r="B2" s="14" t="s">
        <v>2</v>
      </c>
      <c r="C2" s="14" t="s">
        <v>3</v>
      </c>
      <c r="D2" s="14" t="s">
        <v>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="1" customFormat="1" ht="22" customHeight="1" spans="1:40">
      <c r="A3" s="16" t="s">
        <v>5</v>
      </c>
      <c r="B3" s="16" t="s">
        <v>6</v>
      </c>
      <c r="C3" s="16">
        <v>30</v>
      </c>
      <c r="D3" s="10" t="s">
        <v>27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="1" customFormat="1" ht="22" customHeight="1" spans="1:40">
      <c r="A4" s="16"/>
      <c r="B4" s="16" t="s">
        <v>77</v>
      </c>
      <c r="C4" s="16">
        <v>40</v>
      </c>
      <c r="D4" s="10" t="s">
        <v>27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="1" customFormat="1" ht="22" customHeight="1" spans="1:40">
      <c r="A5" s="16"/>
      <c r="B5" s="16" t="s">
        <v>16</v>
      </c>
      <c r="C5" s="16">
        <v>30</v>
      </c>
      <c r="D5" s="10" t="s">
        <v>27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="1" customFormat="1" ht="22" customHeight="1" spans="1:40">
      <c r="A6" s="19"/>
      <c r="B6" s="19"/>
      <c r="C6" s="19"/>
      <c r="D6" s="11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="1" customFormat="1" ht="22" customHeight="1" spans="1:40">
      <c r="A7" s="4" t="s">
        <v>13</v>
      </c>
      <c r="B7" s="4"/>
      <c r="C7" s="4"/>
      <c r="D7" s="4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="1" customFormat="1" ht="22" customHeight="1" spans="1:40">
      <c r="A8" s="21" t="s">
        <v>1</v>
      </c>
      <c r="B8" s="14" t="s">
        <v>2</v>
      </c>
      <c r="C8" s="14" t="s">
        <v>3</v>
      </c>
      <c r="D8" s="14" t="s">
        <v>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="1" customFormat="1" ht="22" customHeight="1" spans="1:40">
      <c r="A9" s="16" t="s">
        <v>14</v>
      </c>
      <c r="B9" s="43" t="s">
        <v>15</v>
      </c>
      <c r="C9" s="16">
        <v>40</v>
      </c>
      <c r="D9" s="10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="1" customFormat="1" ht="22" customHeight="1" spans="1:40">
      <c r="A10" s="20"/>
      <c r="B10" s="43" t="s">
        <v>78</v>
      </c>
      <c r="C10" s="16">
        <v>30</v>
      </c>
      <c r="D10" s="10" t="s">
        <v>27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="1" customFormat="1" ht="22" customHeight="1" spans="1:40">
      <c r="A11" s="20"/>
      <c r="B11" s="43" t="s">
        <v>17</v>
      </c>
      <c r="C11" s="16">
        <v>30</v>
      </c>
      <c r="D11" s="10" t="s">
        <v>27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="1" customFormat="1" ht="22" customHeight="1" spans="1:40">
      <c r="A12" s="19"/>
      <c r="B12" s="19"/>
      <c r="C12" s="19"/>
      <c r="D12" s="1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="1" customFormat="1" ht="22" customHeight="1" spans="1:40">
      <c r="A13" s="4" t="s">
        <v>18</v>
      </c>
      <c r="B13" s="4"/>
      <c r="C13" s="4"/>
      <c r="D13" s="4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="1" customFormat="1" ht="22" customHeight="1" spans="1:40">
      <c r="A14" s="14" t="s">
        <v>1</v>
      </c>
      <c r="B14" s="14" t="s">
        <v>2</v>
      </c>
      <c r="C14" s="14" t="s">
        <v>3</v>
      </c>
      <c r="D14" s="14" t="s">
        <v>4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="1" customFormat="1" ht="22" customHeight="1" spans="1:40">
      <c r="A15" s="16" t="s">
        <v>19</v>
      </c>
      <c r="B15" s="16" t="s">
        <v>20</v>
      </c>
      <c r="C15" s="16">
        <v>40</v>
      </c>
      <c r="D15" s="10" t="s">
        <v>27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="1" customFormat="1" ht="22" customHeight="1" spans="1:40">
      <c r="A16" s="16"/>
      <c r="B16" s="16" t="s">
        <v>22</v>
      </c>
      <c r="C16" s="16">
        <v>60</v>
      </c>
      <c r="D16" s="10" t="s">
        <v>79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="1" customFormat="1" ht="22" customHeight="1" spans="1:40">
      <c r="A17" s="19"/>
      <c r="B17" s="19"/>
      <c r="C17" s="19"/>
      <c r="D17" s="1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s="1" customFormat="1" ht="22" customHeight="1" spans="1:40">
      <c r="A18" s="4" t="s">
        <v>24</v>
      </c>
      <c r="B18" s="4"/>
      <c r="C18" s="4"/>
      <c r="D18" s="4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s="1" customFormat="1" ht="22" customHeight="1" spans="1:40">
      <c r="A19" s="14" t="s">
        <v>1</v>
      </c>
      <c r="B19" s="14" t="s">
        <v>2</v>
      </c>
      <c r="C19" s="14" t="s">
        <v>3</v>
      </c>
      <c r="D19" s="14" t="s">
        <v>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="1" customFormat="1" ht="22" customHeight="1" spans="1:40">
      <c r="A20" s="16" t="s">
        <v>25</v>
      </c>
      <c r="B20" s="16" t="s">
        <v>26</v>
      </c>
      <c r="C20" s="16">
        <v>25</v>
      </c>
      <c r="D20" s="10" t="s">
        <v>27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 s="1" customFormat="1" ht="22" customHeight="1" spans="1:40">
      <c r="A21" s="16"/>
      <c r="B21" s="16" t="s">
        <v>20</v>
      </c>
      <c r="C21" s="16">
        <v>25</v>
      </c>
      <c r="D21" s="10" t="s">
        <v>27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s="1" customFormat="1" ht="22" customHeight="1" spans="1:40">
      <c r="A22" s="16"/>
      <c r="B22" s="16" t="s">
        <v>28</v>
      </c>
      <c r="C22" s="16">
        <v>25</v>
      </c>
      <c r="D22" s="10" t="s">
        <v>27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s="1" customFormat="1" ht="22" customHeight="1" spans="1:40">
      <c r="A23" s="16"/>
      <c r="B23" s="16" t="s">
        <v>29</v>
      </c>
      <c r="C23" s="16">
        <v>25</v>
      </c>
      <c r="D23" s="10" t="s">
        <v>27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 s="1" customFormat="1" ht="22" customHeight="1" spans="1:40">
      <c r="A24" s="19"/>
      <c r="B24" s="19"/>
      <c r="C24" s="19"/>
      <c r="D24" s="11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 s="1" customFormat="1" ht="22" customHeight="1" spans="1:40">
      <c r="A25" s="4" t="s">
        <v>30</v>
      </c>
      <c r="B25" s="4"/>
      <c r="C25" s="4"/>
      <c r="D25" s="4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s="1" customFormat="1" ht="32" customHeight="1" spans="1:40">
      <c r="A26" s="14" t="s">
        <v>1</v>
      </c>
      <c r="B26" s="14" t="s">
        <v>2</v>
      </c>
      <c r="C26" s="14" t="s">
        <v>3</v>
      </c>
      <c r="D26" s="14" t="s">
        <v>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 s="1" customFormat="1" ht="29" customHeight="1" spans="1:40">
      <c r="A27" s="16" t="s">
        <v>31</v>
      </c>
      <c r="B27" s="10" t="s">
        <v>32</v>
      </c>
      <c r="C27" s="16">
        <v>50</v>
      </c>
      <c r="D27" s="44" t="s">
        <v>33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s="1" customFormat="1" ht="33" customHeight="1" spans="1:40">
      <c r="A28" s="16"/>
      <c r="B28" s="10" t="s">
        <v>34</v>
      </c>
      <c r="C28" s="16">
        <v>30</v>
      </c>
      <c r="D28" s="44" t="s">
        <v>35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 s="1" customFormat="1" ht="37" customHeight="1" spans="1:40">
      <c r="A29" s="16"/>
      <c r="B29" s="10" t="s">
        <v>36</v>
      </c>
      <c r="C29" s="16">
        <v>20</v>
      </c>
      <c r="D29" s="44" t="s">
        <v>37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s="1" customFormat="1" ht="37" customHeight="1" spans="1:40">
      <c r="A30" s="19"/>
      <c r="B30" s="11"/>
      <c r="C30" s="19"/>
      <c r="D30" s="45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</row>
    <row r="31" s="1" customFormat="1" ht="27" customHeight="1" spans="1:40">
      <c r="A31" s="4" t="s">
        <v>38</v>
      </c>
      <c r="B31" s="4"/>
      <c r="C31" s="4"/>
      <c r="D31" s="4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 s="1" customFormat="1" ht="33" customHeight="1" spans="1:40">
      <c r="A32" s="14" t="s">
        <v>1</v>
      </c>
      <c r="B32" s="14" t="s">
        <v>2</v>
      </c>
      <c r="C32" s="14" t="s">
        <v>3</v>
      </c>
      <c r="D32" s="14" t="s">
        <v>4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 s="1" customFormat="1" ht="45" customHeight="1" spans="1:40">
      <c r="A33" s="16" t="s">
        <v>39</v>
      </c>
      <c r="B33" s="16" t="s">
        <v>40</v>
      </c>
      <c r="C33" s="16">
        <v>25</v>
      </c>
      <c r="D33" s="44" t="s">
        <v>41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 s="1" customFormat="1" ht="33" customHeight="1" spans="1:40">
      <c r="A34" s="16"/>
      <c r="B34" s="16" t="s">
        <v>42</v>
      </c>
      <c r="C34" s="16">
        <v>25</v>
      </c>
      <c r="D34" s="44" t="s">
        <v>43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 s="1" customFormat="1" ht="36" customHeight="1" spans="1:40">
      <c r="A35" s="16"/>
      <c r="B35" s="16" t="s">
        <v>44</v>
      </c>
      <c r="C35" s="16">
        <v>25</v>
      </c>
      <c r="D35" s="44" t="s">
        <v>45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 s="1" customFormat="1" ht="41.25" customHeight="1" spans="1:40">
      <c r="A36" s="16"/>
      <c r="B36" s="16" t="s">
        <v>46</v>
      </c>
      <c r="C36" s="16">
        <v>25</v>
      </c>
      <c r="D36" s="44" t="s">
        <v>47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 s="1" customFormat="1" ht="50" customHeight="1" spans="1:40">
      <c r="A37" s="16"/>
      <c r="B37" s="10" t="s">
        <v>48</v>
      </c>
      <c r="C37" s="16" t="s">
        <v>49</v>
      </c>
      <c r="D37" s="44" t="s">
        <v>50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</row>
    <row r="38" s="1" customFormat="1" customHeight="1" spans="1:40">
      <c r="A38" s="4"/>
      <c r="B38" s="4"/>
      <c r="C38" s="4"/>
      <c r="D38" s="4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</row>
  </sheetData>
  <mergeCells count="12">
    <mergeCell ref="A1:D1"/>
    <mergeCell ref="A7:D7"/>
    <mergeCell ref="A13:D13"/>
    <mergeCell ref="A18:D18"/>
    <mergeCell ref="A25:D25"/>
    <mergeCell ref="A31:D31"/>
    <mergeCell ref="A3:A5"/>
    <mergeCell ref="A9:A11"/>
    <mergeCell ref="A15:A16"/>
    <mergeCell ref="A20:A23"/>
    <mergeCell ref="A27:A29"/>
    <mergeCell ref="A33:A37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7"/>
  <sheetViews>
    <sheetView tabSelected="1" topLeftCell="B6" workbookViewId="0">
      <selection activeCell="B15" sqref="B15:T27"/>
    </sheetView>
  </sheetViews>
  <sheetFormatPr defaultColWidth="9" defaultRowHeight="15.75" customHeight="1"/>
  <cols>
    <col min="1" max="1" width="21.25" style="1" customWidth="1"/>
    <col min="4" max="5" width="10.4545454545455" customWidth="1"/>
    <col min="8" max="8" width="7.87878787878788" customWidth="1"/>
    <col min="9" max="9" width="7.62878787878788" customWidth="1"/>
    <col min="11" max="11" width="8.25" customWidth="1"/>
    <col min="12" max="12" width="8.12878787878788" customWidth="1"/>
    <col min="15" max="15" width="8" customWidth="1"/>
    <col min="16" max="16" width="7.87878787878788" customWidth="1"/>
  </cols>
  <sheetData>
    <row r="1" customHeight="1" spans="1:20">
      <c r="A1" s="22" t="s">
        <v>80</v>
      </c>
      <c r="B1" s="22" t="s">
        <v>52</v>
      </c>
      <c r="C1" s="22" t="s">
        <v>5</v>
      </c>
      <c r="D1" s="22"/>
      <c r="E1" s="22"/>
      <c r="F1" s="22"/>
      <c r="G1" s="22"/>
      <c r="H1" s="22" t="s">
        <v>14</v>
      </c>
      <c r="I1" s="22"/>
      <c r="J1" s="22"/>
      <c r="K1" s="22"/>
      <c r="L1" s="22"/>
      <c r="M1" s="22" t="s">
        <v>19</v>
      </c>
      <c r="N1" s="22"/>
      <c r="O1" s="22"/>
      <c r="P1" s="22"/>
      <c r="Q1" s="23"/>
      <c r="R1" s="23"/>
      <c r="S1" s="23"/>
      <c r="T1" s="23"/>
    </row>
    <row r="2" ht="27.75" customHeight="1" spans="1:20">
      <c r="A2" s="22"/>
      <c r="B2" s="22"/>
      <c r="C2" s="22" t="s">
        <v>6</v>
      </c>
      <c r="D2" s="22" t="s">
        <v>8</v>
      </c>
      <c r="E2" s="22" t="s">
        <v>16</v>
      </c>
      <c r="F2" s="22" t="s">
        <v>53</v>
      </c>
      <c r="G2" s="22" t="s">
        <v>54</v>
      </c>
      <c r="H2" s="22" t="s">
        <v>15</v>
      </c>
      <c r="I2" s="22" t="s">
        <v>78</v>
      </c>
      <c r="J2" s="22" t="s">
        <v>17</v>
      </c>
      <c r="K2" s="22" t="s">
        <v>53</v>
      </c>
      <c r="L2" s="22" t="s">
        <v>54</v>
      </c>
      <c r="M2" s="22" t="s">
        <v>20</v>
      </c>
      <c r="N2" s="22" t="s">
        <v>22</v>
      </c>
      <c r="O2" s="22" t="s">
        <v>53</v>
      </c>
      <c r="P2" s="22" t="s">
        <v>54</v>
      </c>
      <c r="Q2" s="23"/>
      <c r="R2" s="23"/>
      <c r="S2" s="23"/>
      <c r="T2" s="23"/>
    </row>
    <row r="3" customHeight="1" spans="1:20">
      <c r="A3" s="24" t="s">
        <v>55</v>
      </c>
      <c r="B3" s="24" t="s">
        <v>56</v>
      </c>
      <c r="C3" s="25">
        <v>27.8</v>
      </c>
      <c r="D3" s="25">
        <v>28.1</v>
      </c>
      <c r="E3" s="25">
        <v>22.5</v>
      </c>
      <c r="F3" s="25">
        <v>78.4</v>
      </c>
      <c r="G3" s="26">
        <v>3</v>
      </c>
      <c r="H3" s="25">
        <v>48</v>
      </c>
      <c r="I3" s="25">
        <v>9.67</v>
      </c>
      <c r="J3" s="25">
        <v>36</v>
      </c>
      <c r="K3" s="25">
        <v>93.67</v>
      </c>
      <c r="L3" s="26">
        <v>3</v>
      </c>
      <c r="M3" s="25">
        <v>14.7</v>
      </c>
      <c r="N3" s="25">
        <v>44</v>
      </c>
      <c r="O3" s="25">
        <v>58.7</v>
      </c>
      <c r="P3" s="26">
        <v>8</v>
      </c>
      <c r="Q3" s="23"/>
      <c r="R3" s="23"/>
      <c r="S3" s="23"/>
      <c r="T3" s="23"/>
    </row>
    <row r="4" customHeight="1" spans="1:20">
      <c r="A4" s="24" t="s">
        <v>57</v>
      </c>
      <c r="B4" s="24" t="s">
        <v>58</v>
      </c>
      <c r="C4" s="25">
        <v>15.6</v>
      </c>
      <c r="D4" s="25">
        <v>20.5</v>
      </c>
      <c r="E4" s="25">
        <v>21.5</v>
      </c>
      <c r="F4" s="25">
        <v>57.6</v>
      </c>
      <c r="G4" s="26">
        <v>5</v>
      </c>
      <c r="H4" s="25">
        <v>22.22</v>
      </c>
      <c r="I4" s="25">
        <v>14.67</v>
      </c>
      <c r="J4" s="25">
        <v>21.12</v>
      </c>
      <c r="K4" s="25">
        <v>58.01</v>
      </c>
      <c r="L4" s="26">
        <v>5</v>
      </c>
      <c r="M4" s="25">
        <v>14</v>
      </c>
      <c r="N4" s="25">
        <v>50</v>
      </c>
      <c r="O4" s="25">
        <v>64</v>
      </c>
      <c r="P4" s="26">
        <v>5</v>
      </c>
      <c r="Q4" s="23"/>
      <c r="R4" s="23"/>
      <c r="S4" s="23"/>
      <c r="T4" s="23"/>
    </row>
    <row r="5" customHeight="1" spans="1:20">
      <c r="A5" s="24" t="s">
        <v>59</v>
      </c>
      <c r="B5" s="24" t="s">
        <v>60</v>
      </c>
      <c r="C5" s="25">
        <v>16.3</v>
      </c>
      <c r="D5" s="25">
        <v>28.8</v>
      </c>
      <c r="E5" s="25">
        <v>27</v>
      </c>
      <c r="F5" s="25">
        <v>72</v>
      </c>
      <c r="G5" s="26">
        <v>4</v>
      </c>
      <c r="H5" s="25">
        <v>13.33</v>
      </c>
      <c r="I5" s="25">
        <v>11.33</v>
      </c>
      <c r="J5" s="25">
        <v>27.52</v>
      </c>
      <c r="K5" s="25">
        <v>52.19</v>
      </c>
      <c r="L5" s="26">
        <v>7</v>
      </c>
      <c r="M5" s="27">
        <v>10</v>
      </c>
      <c r="N5" s="27">
        <v>60</v>
      </c>
      <c r="O5" s="27">
        <v>70</v>
      </c>
      <c r="P5" s="28">
        <v>1</v>
      </c>
      <c r="Q5" s="23"/>
      <c r="R5" s="23"/>
      <c r="S5" s="23"/>
      <c r="T5" s="23"/>
    </row>
    <row r="6" customHeight="1" spans="1:20">
      <c r="A6" s="24" t="s">
        <v>61</v>
      </c>
      <c r="B6" s="24" t="s">
        <v>62</v>
      </c>
      <c r="C6" s="25">
        <v>21.8</v>
      </c>
      <c r="D6" s="25">
        <v>35.8</v>
      </c>
      <c r="E6" s="25">
        <v>21.5</v>
      </c>
      <c r="F6" s="25">
        <v>79.2</v>
      </c>
      <c r="G6" s="26">
        <v>2</v>
      </c>
      <c r="H6" s="25">
        <v>44.44</v>
      </c>
      <c r="I6" s="25">
        <v>34.67</v>
      </c>
      <c r="J6" s="25">
        <v>28.96</v>
      </c>
      <c r="K6" s="25">
        <v>108.07</v>
      </c>
      <c r="L6" s="26">
        <v>2</v>
      </c>
      <c r="M6" s="25">
        <v>16.5</v>
      </c>
      <c r="N6" s="25">
        <v>46</v>
      </c>
      <c r="O6" s="25">
        <v>62.5</v>
      </c>
      <c r="P6" s="26">
        <v>7</v>
      </c>
      <c r="Q6" s="23"/>
      <c r="R6" s="23"/>
      <c r="S6" s="23"/>
      <c r="T6" s="23"/>
    </row>
    <row r="7" customHeight="1" spans="1:20">
      <c r="A7" s="24" t="s">
        <v>63</v>
      </c>
      <c r="B7" s="24" t="s">
        <v>64</v>
      </c>
      <c r="C7" s="25">
        <v>8.3</v>
      </c>
      <c r="D7" s="25">
        <v>8.6</v>
      </c>
      <c r="E7" s="25">
        <v>17.9</v>
      </c>
      <c r="F7" s="25">
        <v>34.8</v>
      </c>
      <c r="G7" s="26">
        <v>8</v>
      </c>
      <c r="H7" s="25">
        <v>0</v>
      </c>
      <c r="I7" s="25">
        <v>6.33</v>
      </c>
      <c r="J7" s="25">
        <v>23.04</v>
      </c>
      <c r="K7" s="25">
        <v>29.37</v>
      </c>
      <c r="L7" s="26">
        <v>10</v>
      </c>
      <c r="M7" s="25">
        <v>16.4</v>
      </c>
      <c r="N7" s="25">
        <v>48</v>
      </c>
      <c r="O7" s="25">
        <v>64.4</v>
      </c>
      <c r="P7" s="26">
        <v>4</v>
      </c>
      <c r="Q7" s="23"/>
      <c r="R7" s="23"/>
      <c r="S7" s="23"/>
      <c r="T7" s="23"/>
    </row>
    <row r="8" customHeight="1" spans="1:20">
      <c r="A8" s="24" t="s">
        <v>65</v>
      </c>
      <c r="B8" s="24" t="s">
        <v>66</v>
      </c>
      <c r="C8" s="25">
        <v>3.8</v>
      </c>
      <c r="D8" s="25">
        <v>3.4</v>
      </c>
      <c r="E8" s="25">
        <v>17.8</v>
      </c>
      <c r="F8" s="25">
        <v>24.9</v>
      </c>
      <c r="G8" s="26">
        <v>9</v>
      </c>
      <c r="H8" s="25">
        <v>20</v>
      </c>
      <c r="I8" s="25">
        <v>15.5</v>
      </c>
      <c r="J8" s="25">
        <v>18.4</v>
      </c>
      <c r="K8" s="25">
        <v>53.9</v>
      </c>
      <c r="L8" s="26">
        <v>6</v>
      </c>
      <c r="M8" s="25">
        <v>11.7</v>
      </c>
      <c r="N8" s="25">
        <v>56</v>
      </c>
      <c r="O8" s="25">
        <v>67.7</v>
      </c>
      <c r="P8" s="26">
        <v>2</v>
      </c>
      <c r="Q8" s="23"/>
      <c r="R8" s="23"/>
      <c r="S8" s="23"/>
      <c r="T8" s="23"/>
    </row>
    <row r="9" customHeight="1" spans="1:20">
      <c r="A9" s="24" t="s">
        <v>67</v>
      </c>
      <c r="B9" s="29" t="s">
        <v>68</v>
      </c>
      <c r="C9" s="27">
        <v>20</v>
      </c>
      <c r="D9" s="27">
        <v>40</v>
      </c>
      <c r="E9" s="27">
        <v>20.6</v>
      </c>
      <c r="F9" s="27">
        <v>80.6</v>
      </c>
      <c r="G9" s="28">
        <v>1</v>
      </c>
      <c r="H9" s="27">
        <v>40</v>
      </c>
      <c r="I9" s="27">
        <v>36</v>
      </c>
      <c r="J9" s="27">
        <v>36</v>
      </c>
      <c r="K9" s="27">
        <v>112</v>
      </c>
      <c r="L9" s="28">
        <v>1</v>
      </c>
      <c r="M9" s="25">
        <v>9</v>
      </c>
      <c r="N9" s="25">
        <v>42</v>
      </c>
      <c r="O9" s="25">
        <v>51</v>
      </c>
      <c r="P9" s="26">
        <v>10</v>
      </c>
      <c r="Q9" s="23"/>
      <c r="R9" s="23"/>
      <c r="S9" s="23"/>
      <c r="T9" s="23"/>
    </row>
    <row r="10" customHeight="1" spans="1:20">
      <c r="A10" s="24" t="s">
        <v>69</v>
      </c>
      <c r="B10" s="24" t="s">
        <v>70</v>
      </c>
      <c r="C10" s="25">
        <v>10</v>
      </c>
      <c r="D10" s="25">
        <v>20</v>
      </c>
      <c r="E10" s="25">
        <v>17.9</v>
      </c>
      <c r="F10" s="25">
        <v>47.9</v>
      </c>
      <c r="G10" s="26">
        <v>7</v>
      </c>
      <c r="H10" s="25">
        <v>13.33</v>
      </c>
      <c r="I10" s="25">
        <v>13</v>
      </c>
      <c r="J10" s="25">
        <v>20.44</v>
      </c>
      <c r="K10" s="25">
        <v>46.78</v>
      </c>
      <c r="L10" s="26">
        <v>8</v>
      </c>
      <c r="M10" s="25">
        <v>11.3</v>
      </c>
      <c r="N10" s="25">
        <v>54</v>
      </c>
      <c r="O10" s="25">
        <v>65.3</v>
      </c>
      <c r="P10" s="26">
        <v>3</v>
      </c>
      <c r="Q10" s="23"/>
      <c r="R10" s="23"/>
      <c r="S10" s="23"/>
      <c r="T10" s="23"/>
    </row>
    <row r="11" customHeight="1" spans="1:20">
      <c r="A11" s="24" t="s">
        <v>71</v>
      </c>
      <c r="B11" s="24" t="s">
        <v>72</v>
      </c>
      <c r="C11" s="25"/>
      <c r="D11" s="25"/>
      <c r="E11" s="25"/>
      <c r="F11" s="25"/>
      <c r="G11" s="26"/>
      <c r="H11" s="25">
        <v>20.74</v>
      </c>
      <c r="I11" s="25">
        <v>11.89</v>
      </c>
      <c r="J11" s="25">
        <v>25.85</v>
      </c>
      <c r="K11" s="25">
        <v>58.48</v>
      </c>
      <c r="L11" s="26">
        <v>4</v>
      </c>
      <c r="M11" s="25">
        <v>4.6</v>
      </c>
      <c r="N11" s="25">
        <v>52</v>
      </c>
      <c r="O11" s="25">
        <v>56.6</v>
      </c>
      <c r="P11" s="26">
        <v>9</v>
      </c>
      <c r="Q11" s="23"/>
      <c r="R11" s="23"/>
      <c r="S11" s="23"/>
      <c r="T11" s="23"/>
    </row>
    <row r="12" customHeight="1" spans="1:20">
      <c r="A12" s="24" t="s">
        <v>73</v>
      </c>
      <c r="B12" s="24" t="s">
        <v>74</v>
      </c>
      <c r="C12" s="25">
        <v>10</v>
      </c>
      <c r="D12" s="25">
        <v>13.3</v>
      </c>
      <c r="E12" s="25">
        <v>28.3</v>
      </c>
      <c r="F12" s="25">
        <v>51.6</v>
      </c>
      <c r="G12" s="26">
        <v>6</v>
      </c>
      <c r="H12" s="25">
        <v>2.22</v>
      </c>
      <c r="I12" s="25">
        <v>18.83</v>
      </c>
      <c r="J12" s="25">
        <v>16.45</v>
      </c>
      <c r="K12" s="25">
        <v>37.51</v>
      </c>
      <c r="L12" s="26">
        <v>9</v>
      </c>
      <c r="M12" s="25">
        <v>5.1</v>
      </c>
      <c r="N12" s="25">
        <v>58</v>
      </c>
      <c r="O12" s="25">
        <v>63.1</v>
      </c>
      <c r="P12" s="26">
        <v>6</v>
      </c>
      <c r="Q12" s="23"/>
      <c r="R12" s="23"/>
      <c r="S12" s="23"/>
      <c r="T12" s="23"/>
    </row>
    <row r="13" customHeight="1" spans="1:20">
      <c r="A13" s="24" t="s">
        <v>75</v>
      </c>
      <c r="B13" s="30" t="s">
        <v>76</v>
      </c>
      <c r="C13" s="25">
        <v>15.3</v>
      </c>
      <c r="D13" s="25">
        <v>20.2</v>
      </c>
      <c r="E13" s="25">
        <v>21.1</v>
      </c>
      <c r="F13" s="25">
        <f>SUM(C13:E13)</f>
        <v>56.6</v>
      </c>
      <c r="G13" s="26"/>
      <c r="H13" s="25">
        <v>20</v>
      </c>
      <c r="I13" s="25">
        <v>15.98</v>
      </c>
      <c r="J13" s="25">
        <v>25.97</v>
      </c>
      <c r="K13" s="25">
        <v>61.95</v>
      </c>
      <c r="L13" s="26"/>
      <c r="M13" s="25">
        <v>11.1</v>
      </c>
      <c r="N13" s="25">
        <v>60</v>
      </c>
      <c r="O13" s="25">
        <v>71.1</v>
      </c>
      <c r="P13" s="26"/>
      <c r="Q13" s="23"/>
      <c r="R13" s="23"/>
      <c r="S13" s="23"/>
      <c r="T13" s="23"/>
    </row>
    <row r="14" customHeight="1" spans="1:20">
      <c r="A14" s="31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customHeight="1" spans="1:20">
      <c r="A15" s="22" t="s">
        <v>80</v>
      </c>
      <c r="B15" s="22" t="s">
        <v>52</v>
      </c>
      <c r="C15" s="22" t="s">
        <v>25</v>
      </c>
      <c r="D15" s="22"/>
      <c r="E15" s="22"/>
      <c r="F15" s="22"/>
      <c r="G15" s="22"/>
      <c r="H15" s="22"/>
      <c r="I15" s="22" t="s">
        <v>31</v>
      </c>
      <c r="J15" s="22"/>
      <c r="K15" s="22"/>
      <c r="L15" s="22"/>
      <c r="M15" s="22"/>
      <c r="N15" s="32" t="s">
        <v>39</v>
      </c>
      <c r="O15" s="32"/>
      <c r="P15" s="32"/>
      <c r="Q15" s="32"/>
      <c r="R15" s="32"/>
      <c r="S15" s="32"/>
      <c r="T15" s="32"/>
    </row>
    <row r="16" ht="41.25" customHeight="1" spans="1:20">
      <c r="A16" s="22"/>
      <c r="B16" s="22"/>
      <c r="C16" s="22" t="s">
        <v>26</v>
      </c>
      <c r="D16" s="22" t="s">
        <v>20</v>
      </c>
      <c r="E16" s="22" t="s">
        <v>28</v>
      </c>
      <c r="F16" s="22" t="s">
        <v>29</v>
      </c>
      <c r="G16" s="22" t="s">
        <v>53</v>
      </c>
      <c r="H16" s="22" t="s">
        <v>54</v>
      </c>
      <c r="I16" s="22" t="s">
        <v>32</v>
      </c>
      <c r="J16" s="22" t="s">
        <v>34</v>
      </c>
      <c r="K16" s="22" t="s">
        <v>36</v>
      </c>
      <c r="L16" s="22" t="s">
        <v>53</v>
      </c>
      <c r="M16" s="22" t="s">
        <v>54</v>
      </c>
      <c r="N16" s="33" t="s">
        <v>40</v>
      </c>
      <c r="O16" s="33" t="s">
        <v>42</v>
      </c>
      <c r="P16" s="33" t="s">
        <v>44</v>
      </c>
      <c r="Q16" s="33" t="s">
        <v>46</v>
      </c>
      <c r="R16" s="22" t="s">
        <v>49</v>
      </c>
      <c r="S16" s="22" t="s">
        <v>53</v>
      </c>
      <c r="T16" s="22" t="s">
        <v>54</v>
      </c>
    </row>
    <row r="17" customHeight="1" spans="1:20">
      <c r="A17" s="24" t="s">
        <v>55</v>
      </c>
      <c r="B17" s="24" t="s">
        <v>56</v>
      </c>
      <c r="C17" s="34">
        <v>23.14</v>
      </c>
      <c r="D17" s="34">
        <v>13.4</v>
      </c>
      <c r="E17" s="34">
        <v>30</v>
      </c>
      <c r="F17" s="34">
        <v>23.77</v>
      </c>
      <c r="G17" s="34">
        <v>90.31</v>
      </c>
      <c r="H17" s="26">
        <v>3</v>
      </c>
      <c r="I17" s="26">
        <v>55.26</v>
      </c>
      <c r="J17" s="26">
        <v>21.88</v>
      </c>
      <c r="K17" s="25">
        <v>20</v>
      </c>
      <c r="L17" s="26">
        <v>97.14</v>
      </c>
      <c r="M17" s="35">
        <v>2</v>
      </c>
      <c r="N17" s="24">
        <v>2.03</v>
      </c>
      <c r="O17" s="36">
        <v>25</v>
      </c>
      <c r="P17" s="36">
        <v>0</v>
      </c>
      <c r="Q17" s="36">
        <v>25</v>
      </c>
      <c r="R17" s="36">
        <v>-1</v>
      </c>
      <c r="S17" s="37">
        <f>SUM(N17:R17)</f>
        <v>51.03</v>
      </c>
      <c r="T17" s="24">
        <f t="shared" ref="T17:T26" si="0">RANK(S17,$S$17:$S$26)</f>
        <v>8</v>
      </c>
    </row>
    <row r="18" customHeight="1" spans="1:20">
      <c r="A18" s="24" t="s">
        <v>57</v>
      </c>
      <c r="B18" s="24" t="s">
        <v>58</v>
      </c>
      <c r="C18" s="34">
        <v>14.66</v>
      </c>
      <c r="D18" s="34">
        <v>11.04</v>
      </c>
      <c r="E18" s="34">
        <v>25.75</v>
      </c>
      <c r="F18" s="34">
        <v>20.92</v>
      </c>
      <c r="G18" s="34">
        <v>72.36</v>
      </c>
      <c r="H18" s="26">
        <v>8</v>
      </c>
      <c r="I18" s="26">
        <v>46.85</v>
      </c>
      <c r="J18" s="26">
        <v>28.97</v>
      </c>
      <c r="K18" s="25">
        <v>20</v>
      </c>
      <c r="L18" s="26">
        <v>95.81</v>
      </c>
      <c r="M18" s="35">
        <v>3</v>
      </c>
      <c r="N18" s="24">
        <v>9.48</v>
      </c>
      <c r="O18" s="36">
        <v>25</v>
      </c>
      <c r="P18" s="36">
        <v>25</v>
      </c>
      <c r="Q18" s="36">
        <v>25</v>
      </c>
      <c r="R18" s="36">
        <v>-1</v>
      </c>
      <c r="S18" s="37">
        <f t="shared" ref="S18:S27" si="1">SUM(N18:R18)</f>
        <v>83.48</v>
      </c>
      <c r="T18" s="24">
        <f t="shared" si="0"/>
        <v>4</v>
      </c>
    </row>
    <row r="19" customHeight="1" spans="1:20">
      <c r="A19" s="24" t="s">
        <v>59</v>
      </c>
      <c r="B19" s="24" t="s">
        <v>60</v>
      </c>
      <c r="C19" s="34">
        <v>22.31</v>
      </c>
      <c r="D19" s="34">
        <v>12.54</v>
      </c>
      <c r="E19" s="34">
        <v>24.11</v>
      </c>
      <c r="F19" s="34">
        <v>17.01</v>
      </c>
      <c r="G19" s="34">
        <v>75.97</v>
      </c>
      <c r="H19" s="26">
        <v>6</v>
      </c>
      <c r="I19" s="26">
        <v>34.01</v>
      </c>
      <c r="J19" s="26">
        <v>27.18</v>
      </c>
      <c r="K19" s="25">
        <v>20</v>
      </c>
      <c r="L19" s="26">
        <v>81.19</v>
      </c>
      <c r="M19" s="35">
        <v>4</v>
      </c>
      <c r="N19" s="24">
        <v>8.62</v>
      </c>
      <c r="O19" s="36">
        <v>25</v>
      </c>
      <c r="P19" s="36">
        <v>0</v>
      </c>
      <c r="Q19" s="36">
        <v>25</v>
      </c>
      <c r="R19" s="36">
        <v>-1</v>
      </c>
      <c r="S19" s="37">
        <f t="shared" si="1"/>
        <v>57.62</v>
      </c>
      <c r="T19" s="24">
        <f t="shared" si="0"/>
        <v>7</v>
      </c>
    </row>
    <row r="20" customHeight="1" spans="1:20">
      <c r="A20" s="24" t="s">
        <v>61</v>
      </c>
      <c r="B20" s="24" t="s">
        <v>62</v>
      </c>
      <c r="C20" s="34">
        <v>16.09</v>
      </c>
      <c r="D20" s="34">
        <v>11.04</v>
      </c>
      <c r="E20" s="34">
        <v>21.01</v>
      </c>
      <c r="F20" s="34">
        <v>30</v>
      </c>
      <c r="G20" s="34">
        <v>78.14</v>
      </c>
      <c r="H20" s="26">
        <v>5</v>
      </c>
      <c r="I20" s="28">
        <v>51.42</v>
      </c>
      <c r="J20" s="28">
        <v>25.77</v>
      </c>
      <c r="K20" s="27">
        <v>20</v>
      </c>
      <c r="L20" s="28">
        <v>97.19</v>
      </c>
      <c r="M20" s="38">
        <v>1</v>
      </c>
      <c r="N20" s="24">
        <v>18.8</v>
      </c>
      <c r="O20" s="36">
        <v>25</v>
      </c>
      <c r="P20" s="36">
        <v>10</v>
      </c>
      <c r="Q20" s="36">
        <v>25</v>
      </c>
      <c r="R20" s="36">
        <v>-3</v>
      </c>
      <c r="S20" s="37">
        <f t="shared" si="1"/>
        <v>75.8</v>
      </c>
      <c r="T20" s="24">
        <f t="shared" si="0"/>
        <v>5</v>
      </c>
    </row>
    <row r="21" customHeight="1" spans="1:20">
      <c r="A21" s="24" t="s">
        <v>63</v>
      </c>
      <c r="B21" s="24" t="s">
        <v>64</v>
      </c>
      <c r="C21" s="34">
        <v>16.94</v>
      </c>
      <c r="D21" s="34">
        <v>11.67</v>
      </c>
      <c r="E21" s="34">
        <v>20.59</v>
      </c>
      <c r="F21" s="34">
        <v>17.69</v>
      </c>
      <c r="G21" s="34">
        <v>66.89</v>
      </c>
      <c r="H21" s="26">
        <v>9</v>
      </c>
      <c r="I21" s="26">
        <v>27.93</v>
      </c>
      <c r="J21" s="26">
        <v>21.47</v>
      </c>
      <c r="K21" s="25">
        <v>15.86</v>
      </c>
      <c r="L21" s="26">
        <v>65.26</v>
      </c>
      <c r="M21" s="35">
        <v>6</v>
      </c>
      <c r="N21" s="24">
        <v>6.85</v>
      </c>
      <c r="O21" s="36">
        <v>20</v>
      </c>
      <c r="P21" s="36">
        <v>0</v>
      </c>
      <c r="Q21" s="36">
        <v>25</v>
      </c>
      <c r="R21" s="36">
        <v>-3</v>
      </c>
      <c r="S21" s="37">
        <f t="shared" si="1"/>
        <v>48.85</v>
      </c>
      <c r="T21" s="24">
        <f t="shared" si="0"/>
        <v>9</v>
      </c>
    </row>
    <row r="22" customHeight="1" spans="1:20">
      <c r="A22" s="24" t="s">
        <v>65</v>
      </c>
      <c r="B22" s="29" t="s">
        <v>66</v>
      </c>
      <c r="C22" s="39">
        <v>30</v>
      </c>
      <c r="D22" s="39">
        <v>14.39</v>
      </c>
      <c r="E22" s="39">
        <v>28.98</v>
      </c>
      <c r="F22" s="39">
        <v>28.33</v>
      </c>
      <c r="G22" s="39">
        <v>101.71</v>
      </c>
      <c r="H22" s="28">
        <v>1</v>
      </c>
      <c r="I22" s="26">
        <v>37.46</v>
      </c>
      <c r="J22" s="26">
        <v>20.06</v>
      </c>
      <c r="K22" s="25">
        <v>20</v>
      </c>
      <c r="L22" s="26">
        <v>77.51</v>
      </c>
      <c r="M22" s="35">
        <v>5</v>
      </c>
      <c r="N22" s="29">
        <v>21.32</v>
      </c>
      <c r="O22" s="40">
        <v>25</v>
      </c>
      <c r="P22" s="40">
        <v>25</v>
      </c>
      <c r="Q22" s="40">
        <v>25</v>
      </c>
      <c r="R22" s="40"/>
      <c r="S22" s="41">
        <f t="shared" si="1"/>
        <v>96.32</v>
      </c>
      <c r="T22" s="29">
        <f t="shared" si="0"/>
        <v>1</v>
      </c>
    </row>
    <row r="23" customHeight="1" spans="1:20">
      <c r="A23" s="24" t="s">
        <v>67</v>
      </c>
      <c r="B23" s="24" t="s">
        <v>68</v>
      </c>
      <c r="C23" s="34">
        <v>7.92</v>
      </c>
      <c r="D23" s="34">
        <v>6.07</v>
      </c>
      <c r="E23" s="34">
        <v>11.64</v>
      </c>
      <c r="F23" s="34">
        <v>6.41</v>
      </c>
      <c r="G23" s="34">
        <v>32.04</v>
      </c>
      <c r="H23" s="26">
        <v>10</v>
      </c>
      <c r="I23" s="26">
        <v>16.5</v>
      </c>
      <c r="J23" s="26">
        <v>17.86</v>
      </c>
      <c r="K23" s="25">
        <v>20</v>
      </c>
      <c r="L23" s="26">
        <v>54.36</v>
      </c>
      <c r="M23" s="35">
        <v>8</v>
      </c>
      <c r="N23" s="24">
        <v>1.14</v>
      </c>
      <c r="O23" s="36">
        <v>15</v>
      </c>
      <c r="P23" s="36">
        <v>5</v>
      </c>
      <c r="Q23" s="36">
        <v>25</v>
      </c>
      <c r="R23" s="36"/>
      <c r="S23" s="37">
        <f t="shared" si="1"/>
        <v>46.14</v>
      </c>
      <c r="T23" s="24">
        <f t="shared" si="0"/>
        <v>10</v>
      </c>
    </row>
    <row r="24" customHeight="1" spans="1:20">
      <c r="A24" s="24" t="s">
        <v>69</v>
      </c>
      <c r="B24" s="24" t="s">
        <v>70</v>
      </c>
      <c r="C24" s="34">
        <v>23.88</v>
      </c>
      <c r="D24" s="34">
        <v>12.37</v>
      </c>
      <c r="E24" s="34">
        <v>21.14</v>
      </c>
      <c r="F24" s="34">
        <v>30</v>
      </c>
      <c r="G24" s="34">
        <v>87.38</v>
      </c>
      <c r="H24" s="26">
        <v>4</v>
      </c>
      <c r="I24" s="26">
        <v>22.42</v>
      </c>
      <c r="J24" s="26">
        <v>18.06</v>
      </c>
      <c r="K24" s="25">
        <v>20</v>
      </c>
      <c r="L24" s="26">
        <v>60.48</v>
      </c>
      <c r="M24" s="35">
        <v>7</v>
      </c>
      <c r="N24" s="24">
        <v>19.05</v>
      </c>
      <c r="O24" s="36">
        <v>25</v>
      </c>
      <c r="P24" s="36">
        <v>25</v>
      </c>
      <c r="Q24" s="36">
        <v>25</v>
      </c>
      <c r="R24" s="36"/>
      <c r="S24" s="37">
        <f t="shared" si="1"/>
        <v>94.05</v>
      </c>
      <c r="T24" s="24">
        <f t="shared" si="0"/>
        <v>2</v>
      </c>
    </row>
    <row r="25" customHeight="1" spans="1:20">
      <c r="A25" s="24" t="s">
        <v>71</v>
      </c>
      <c r="B25" s="24" t="s">
        <v>72</v>
      </c>
      <c r="C25" s="34">
        <v>19.55</v>
      </c>
      <c r="D25" s="34">
        <v>19.76</v>
      </c>
      <c r="E25" s="34">
        <v>21.54</v>
      </c>
      <c r="F25" s="34">
        <v>14.97</v>
      </c>
      <c r="G25" s="34">
        <v>75.82</v>
      </c>
      <c r="H25" s="26">
        <v>7</v>
      </c>
      <c r="I25" s="26">
        <v>20.32</v>
      </c>
      <c r="J25" s="26">
        <v>13.68</v>
      </c>
      <c r="K25" s="25">
        <v>15.26</v>
      </c>
      <c r="L25" s="26">
        <v>49.26</v>
      </c>
      <c r="M25" s="35">
        <v>9</v>
      </c>
      <c r="N25" s="24">
        <v>17.34</v>
      </c>
      <c r="O25" s="36">
        <v>25</v>
      </c>
      <c r="P25" s="36">
        <v>0</v>
      </c>
      <c r="Q25" s="36">
        <v>25</v>
      </c>
      <c r="R25" s="36">
        <v>-1</v>
      </c>
      <c r="S25" s="37">
        <f t="shared" si="1"/>
        <v>66.34</v>
      </c>
      <c r="T25" s="24">
        <f t="shared" si="0"/>
        <v>6</v>
      </c>
    </row>
    <row r="26" customHeight="1" spans="1:20">
      <c r="A26" s="24" t="s">
        <v>73</v>
      </c>
      <c r="B26" s="24" t="s">
        <v>74</v>
      </c>
      <c r="C26" s="34">
        <v>22.03</v>
      </c>
      <c r="D26" s="34">
        <v>24.44</v>
      </c>
      <c r="E26" s="34">
        <v>30</v>
      </c>
      <c r="F26" s="34">
        <v>20.92</v>
      </c>
      <c r="G26" s="34">
        <v>97.39</v>
      </c>
      <c r="H26" s="26">
        <v>2</v>
      </c>
      <c r="I26" s="26">
        <v>20.41</v>
      </c>
      <c r="J26" s="26">
        <v>14.74</v>
      </c>
      <c r="K26" s="25">
        <v>0</v>
      </c>
      <c r="L26" s="26">
        <v>35.16</v>
      </c>
      <c r="M26" s="35">
        <v>10</v>
      </c>
      <c r="N26" s="24">
        <v>14.37</v>
      </c>
      <c r="O26" s="36">
        <v>25</v>
      </c>
      <c r="P26" s="36">
        <v>25</v>
      </c>
      <c r="Q26" s="36">
        <v>25</v>
      </c>
      <c r="R26" s="36">
        <v>-4</v>
      </c>
      <c r="S26" s="37">
        <f t="shared" si="1"/>
        <v>85.37</v>
      </c>
      <c r="T26" s="24">
        <f t="shared" si="0"/>
        <v>3</v>
      </c>
    </row>
    <row r="27" customHeight="1" spans="1:20">
      <c r="A27" s="24" t="s">
        <v>75</v>
      </c>
      <c r="B27" s="32" t="s">
        <v>76</v>
      </c>
      <c r="C27" s="34">
        <v>19.6</v>
      </c>
      <c r="D27" s="34">
        <v>13.76</v>
      </c>
      <c r="E27" s="34">
        <v>24.05</v>
      </c>
      <c r="F27" s="34">
        <v>22.18</v>
      </c>
      <c r="G27" s="34">
        <v>79.58</v>
      </c>
      <c r="H27" s="26"/>
      <c r="I27" s="26">
        <v>35.48</v>
      </c>
      <c r="J27" s="26">
        <v>22.05</v>
      </c>
      <c r="K27" s="25">
        <v>20</v>
      </c>
      <c r="L27" s="26"/>
      <c r="M27" s="35"/>
      <c r="N27" s="24">
        <v>11.9</v>
      </c>
      <c r="O27" s="36">
        <v>23.5</v>
      </c>
      <c r="P27" s="36">
        <v>25</v>
      </c>
      <c r="Q27" s="36">
        <v>25</v>
      </c>
      <c r="R27" s="36">
        <v>-3</v>
      </c>
      <c r="S27" s="37">
        <f t="shared" si="1"/>
        <v>82.4</v>
      </c>
      <c r="T27" s="42"/>
    </row>
  </sheetData>
  <mergeCells count="10">
    <mergeCell ref="C1:G1"/>
    <mergeCell ref="H1:L1"/>
    <mergeCell ref="M1:P1"/>
    <mergeCell ref="C15:H15"/>
    <mergeCell ref="I15:M15"/>
    <mergeCell ref="N15:T15"/>
    <mergeCell ref="A1:A2"/>
    <mergeCell ref="A15:A16"/>
    <mergeCell ref="B1:B2"/>
    <mergeCell ref="B15:B16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28"/>
  <sheetViews>
    <sheetView workbookViewId="0">
      <selection activeCell="A1" sqref="A1:D1"/>
    </sheetView>
  </sheetViews>
  <sheetFormatPr defaultColWidth="8.83333333333333" defaultRowHeight="14" customHeight="1"/>
  <cols>
    <col min="1" max="1" width="31.8333333333333" style="2" customWidth="1"/>
    <col min="2" max="2" width="32.3333333333333" style="2" customWidth="1"/>
    <col min="3" max="3" width="9.33333333333333" style="3" customWidth="1"/>
    <col min="4" max="4" width="89.6666666666667" style="2" customWidth="1"/>
    <col min="5" max="40" width="8.83333333333333" style="3"/>
  </cols>
  <sheetData>
    <row r="1" s="1" customFormat="1" ht="24" customHeight="1" spans="1:40">
      <c r="A1" s="4" t="s">
        <v>81</v>
      </c>
      <c r="B1" s="4"/>
      <c r="C1" s="4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="1" customFormat="1" ht="22" customHeight="1" spans="1:40">
      <c r="A2" s="14" t="s">
        <v>1</v>
      </c>
      <c r="B2" s="14" t="s">
        <v>2</v>
      </c>
      <c r="C2" s="14" t="s">
        <v>3</v>
      </c>
      <c r="D2" s="14" t="s">
        <v>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="1" customFormat="1" ht="22" customHeight="1" spans="1:40">
      <c r="A3" s="15" t="s">
        <v>82</v>
      </c>
      <c r="B3" s="16" t="s">
        <v>83</v>
      </c>
      <c r="C3" s="16">
        <v>50</v>
      </c>
      <c r="D3" s="10" t="s">
        <v>84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="1" customFormat="1" ht="22" customHeight="1" spans="1:40">
      <c r="A4" s="17"/>
      <c r="B4" s="16" t="s">
        <v>85</v>
      </c>
      <c r="C4" s="16">
        <v>10</v>
      </c>
      <c r="D4" s="10" t="s">
        <v>86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="1" customFormat="1" ht="22" customHeight="1" spans="1:40">
      <c r="A5" s="18"/>
      <c r="B5" s="16" t="s">
        <v>87</v>
      </c>
      <c r="C5" s="16">
        <v>40</v>
      </c>
      <c r="D5" s="10" t="s">
        <v>84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="1" customFormat="1" ht="22" customHeight="1" spans="1:40">
      <c r="A6" s="19"/>
      <c r="B6" s="19"/>
      <c r="C6" s="19"/>
      <c r="D6" s="11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="1" customFormat="1" ht="22" customHeight="1" spans="1:40">
      <c r="A7" s="4" t="s">
        <v>88</v>
      </c>
      <c r="B7" s="4"/>
      <c r="C7" s="4"/>
      <c r="D7" s="4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="1" customFormat="1" ht="22" customHeight="1" spans="1:40">
      <c r="A8" s="14" t="s">
        <v>1</v>
      </c>
      <c r="B8" s="14" t="s">
        <v>2</v>
      </c>
      <c r="C8" s="14" t="s">
        <v>3</v>
      </c>
      <c r="D8" s="14" t="s">
        <v>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="1" customFormat="1" ht="22" customHeight="1" spans="1:40">
      <c r="A9" s="15" t="s">
        <v>89</v>
      </c>
      <c r="B9" s="10" t="s">
        <v>90</v>
      </c>
      <c r="C9" s="16">
        <v>40</v>
      </c>
      <c r="D9" s="10" t="s">
        <v>91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="1" customFormat="1" ht="22" customHeight="1" spans="1:40">
      <c r="A10" s="17"/>
      <c r="B10" s="10" t="s">
        <v>92</v>
      </c>
      <c r="C10" s="16">
        <v>40</v>
      </c>
      <c r="D10" s="20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="1" customFormat="1" ht="22" customHeight="1" spans="1:40">
      <c r="A11" s="18"/>
      <c r="B11" s="16" t="s">
        <v>93</v>
      </c>
      <c r="C11" s="16">
        <v>20</v>
      </c>
      <c r="D11" s="20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="1" customFormat="1" ht="36" customHeight="1" spans="1:40">
      <c r="A12" s="19"/>
      <c r="B12" s="11"/>
      <c r="C12" s="19"/>
      <c r="D12" s="1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="1" customFormat="1" ht="36" customHeight="1" spans="1:40">
      <c r="A13" s="4" t="s">
        <v>94</v>
      </c>
      <c r="B13" s="4"/>
      <c r="C13" s="4"/>
      <c r="D13" s="4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="1" customFormat="1" ht="36" customHeight="1" spans="1:40">
      <c r="A14" s="21" t="s">
        <v>1</v>
      </c>
      <c r="B14" s="21" t="s">
        <v>2</v>
      </c>
      <c r="C14" s="21" t="s">
        <v>3</v>
      </c>
      <c r="D14" s="21" t="s">
        <v>4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="1" customFormat="1" ht="22" customHeight="1" spans="1:40">
      <c r="A15" s="16" t="s">
        <v>95</v>
      </c>
      <c r="B15" s="16" t="s">
        <v>96</v>
      </c>
      <c r="C15" s="16">
        <v>40</v>
      </c>
      <c r="D15" s="10" t="s">
        <v>84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="1" customFormat="1" ht="22" customHeight="1" spans="1:40">
      <c r="A16" s="16"/>
      <c r="B16" s="16" t="s">
        <v>97</v>
      </c>
      <c r="C16" s="16">
        <v>60</v>
      </c>
      <c r="D16" s="10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="1" customFormat="1" ht="26" customHeight="1" spans="1:40">
      <c r="A17" s="19"/>
      <c r="B17" s="19"/>
      <c r="C17" s="19"/>
      <c r="D17" s="1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s="1" customFormat="1" ht="22" customHeight="1" spans="1:40">
      <c r="A18" s="4" t="s">
        <v>98</v>
      </c>
      <c r="B18" s="4"/>
      <c r="C18" s="4"/>
      <c r="D18" s="4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s="1" customFormat="1" ht="22" customHeight="1" spans="1:40">
      <c r="A19" s="21" t="s">
        <v>1</v>
      </c>
      <c r="B19" s="21" t="s">
        <v>2</v>
      </c>
      <c r="C19" s="21" t="s">
        <v>3</v>
      </c>
      <c r="D19" s="21" t="s">
        <v>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="1" customFormat="1" ht="22" customHeight="1" spans="1:40">
      <c r="A20" s="16" t="s">
        <v>99</v>
      </c>
      <c r="B20" s="16" t="s">
        <v>100</v>
      </c>
      <c r="C20" s="16">
        <v>50</v>
      </c>
      <c r="D20" s="16" t="s">
        <v>101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 s="1" customFormat="1" ht="22" customHeight="1" spans="1:40">
      <c r="A21" s="16"/>
      <c r="B21" s="16" t="s">
        <v>102</v>
      </c>
      <c r="C21" s="16">
        <v>30</v>
      </c>
      <c r="D21" s="16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s="1" customFormat="1" ht="22" customHeight="1" spans="1:40">
      <c r="A22" s="16"/>
      <c r="B22" s="16" t="s">
        <v>103</v>
      </c>
      <c r="C22" s="16">
        <v>20</v>
      </c>
      <c r="D22" s="16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s="1" customFormat="1" ht="26" customHeight="1" spans="1:40">
      <c r="A23" s="19"/>
      <c r="B23" s="19"/>
      <c r="C23" s="19"/>
      <c r="D23" s="19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 s="1" customFormat="1" ht="22" customHeight="1" spans="1:40">
      <c r="A24" s="4" t="s">
        <v>104</v>
      </c>
      <c r="B24" s="4"/>
      <c r="C24" s="4"/>
      <c r="D24" s="4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 s="1" customFormat="1" ht="22" customHeight="1" spans="1:40">
      <c r="A25" s="21" t="s">
        <v>1</v>
      </c>
      <c r="B25" s="21" t="s">
        <v>2</v>
      </c>
      <c r="C25" s="21" t="s">
        <v>3</v>
      </c>
      <c r="D25" s="21" t="s">
        <v>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s="1" customFormat="1" ht="22" customHeight="1" spans="1:40">
      <c r="A26" s="16" t="s">
        <v>105</v>
      </c>
      <c r="B26" s="16" t="s">
        <v>106</v>
      </c>
      <c r="C26" s="16">
        <v>50</v>
      </c>
      <c r="D26" s="10" t="s">
        <v>107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 s="1" customFormat="1" ht="22" customHeight="1" spans="1:40">
      <c r="A27" s="16"/>
      <c r="B27" s="16" t="s">
        <v>108</v>
      </c>
      <c r="C27" s="16">
        <v>50</v>
      </c>
      <c r="D27" s="10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s="1" customFormat="1" customHeight="1" spans="1:40">
      <c r="A28" s="19"/>
      <c r="B28" s="19"/>
      <c r="C28" s="3"/>
      <c r="D28" s="2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</sheetData>
  <mergeCells count="14">
    <mergeCell ref="A1:D1"/>
    <mergeCell ref="A7:D7"/>
    <mergeCell ref="A13:D13"/>
    <mergeCell ref="A18:D18"/>
    <mergeCell ref="A24:D24"/>
    <mergeCell ref="A3:A5"/>
    <mergeCell ref="A9:A11"/>
    <mergeCell ref="A15:A16"/>
    <mergeCell ref="A20:A22"/>
    <mergeCell ref="A26:A27"/>
    <mergeCell ref="D9:D11"/>
    <mergeCell ref="D15:D16"/>
    <mergeCell ref="D20:D22"/>
    <mergeCell ref="D26:D27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L21"/>
  <sheetViews>
    <sheetView workbookViewId="0">
      <selection activeCell="A1" sqref="A1:D1"/>
    </sheetView>
  </sheetViews>
  <sheetFormatPr defaultColWidth="8.83333333333333" defaultRowHeight="14" customHeight="1"/>
  <cols>
    <col min="1" max="1" width="22.3333333333333" style="2" customWidth="1"/>
    <col min="2" max="2" width="24.8333333333333" style="2" customWidth="1"/>
    <col min="3" max="3" width="8.16666666666667" style="3" customWidth="1"/>
    <col min="4" max="4" width="136" style="2" customWidth="1"/>
    <col min="5" max="38" width="8.83333333333333" style="3"/>
    <col min="39" max="40" width="8.83333333333333" style="1"/>
  </cols>
  <sheetData>
    <row r="1" s="1" customFormat="1" ht="33" customHeight="1" spans="1:38">
      <c r="A1" s="4" t="s">
        <v>109</v>
      </c>
      <c r="B1" s="4"/>
      <c r="C1" s="4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="1" customFormat="1" ht="33" customHeight="1" spans="1:38">
      <c r="A2" s="5" t="s">
        <v>1</v>
      </c>
      <c r="B2" s="5" t="s">
        <v>2</v>
      </c>
      <c r="C2" s="5" t="s">
        <v>3</v>
      </c>
      <c r="D2" s="5" t="s">
        <v>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="1" customFormat="1" ht="70" customHeight="1" spans="1:38">
      <c r="A3" s="6" t="s">
        <v>110</v>
      </c>
      <c r="B3" s="7" t="s">
        <v>111</v>
      </c>
      <c r="C3" s="8">
        <v>10</v>
      </c>
      <c r="D3" s="9" t="s">
        <v>112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="1" customFormat="1" ht="52" customHeight="1" spans="1:38">
      <c r="A4" s="6"/>
      <c r="B4" s="7" t="s">
        <v>113</v>
      </c>
      <c r="C4" s="8">
        <v>10</v>
      </c>
      <c r="D4" s="9" t="s">
        <v>114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="1" customFormat="1" ht="37" customHeight="1" spans="1:38">
      <c r="A5" s="6"/>
      <c r="B5" s="7" t="s">
        <v>115</v>
      </c>
      <c r="C5" s="8">
        <v>30</v>
      </c>
      <c r="D5" s="9" t="s">
        <v>116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="1" customFormat="1" ht="37" customHeight="1" spans="1:38">
      <c r="A6" s="10"/>
      <c r="B6" s="7" t="s">
        <v>117</v>
      </c>
      <c r="C6" s="10">
        <v>30</v>
      </c>
      <c r="D6" s="9" t="s">
        <v>118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="1" customFormat="1" ht="40" customHeight="1" spans="1:38">
      <c r="A7" s="10"/>
      <c r="B7" s="7" t="s">
        <v>119</v>
      </c>
      <c r="C7" s="10">
        <v>20</v>
      </c>
      <c r="D7" s="9" t="s">
        <v>120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="1" customFormat="1" ht="19" customHeight="1" spans="1:38">
      <c r="A8" s="11"/>
      <c r="B8" s="11"/>
      <c r="C8" s="11"/>
      <c r="D8" s="1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s="1" customFormat="1" ht="22.5" customHeight="1" spans="1:38">
      <c r="A9" s="13" t="s">
        <v>121</v>
      </c>
      <c r="B9" s="13"/>
      <c r="C9" s="13"/>
      <c r="D9" s="1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s="1" customFormat="1" ht="29" customHeight="1" spans="1:38">
      <c r="A10" s="5" t="s">
        <v>1</v>
      </c>
      <c r="B10" s="5" t="s">
        <v>2</v>
      </c>
      <c r="C10" s="5" t="s">
        <v>3</v>
      </c>
      <c r="D10" s="5" t="s">
        <v>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 s="1" customFormat="1" ht="66" customHeight="1" spans="1:38">
      <c r="A11" s="10" t="s">
        <v>122</v>
      </c>
      <c r="B11" s="10" t="s">
        <v>123</v>
      </c>
      <c r="C11" s="10">
        <v>20</v>
      </c>
      <c r="D11" s="9" t="s">
        <v>124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="1" customFormat="1" ht="33" customHeight="1" spans="1:38">
      <c r="A12" s="10"/>
      <c r="B12" s="10" t="s">
        <v>125</v>
      </c>
      <c r="C12" s="10">
        <v>20</v>
      </c>
      <c r="D12" s="9" t="s">
        <v>126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s="1" customFormat="1" ht="49.5" customHeight="1" spans="1:38">
      <c r="A13" s="10"/>
      <c r="B13" s="10" t="s">
        <v>127</v>
      </c>
      <c r="C13" s="10">
        <v>30</v>
      </c>
      <c r="D13" s="9" t="s">
        <v>128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</row>
    <row r="14" s="1" customFormat="1" ht="82.5" customHeight="1" spans="1:38">
      <c r="A14" s="10"/>
      <c r="B14" s="10" t="s">
        <v>129</v>
      </c>
      <c r="C14" s="10">
        <v>30</v>
      </c>
      <c r="D14" s="9" t="s">
        <v>130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</row>
    <row r="15" s="1" customFormat="1" ht="16.5" customHeight="1" spans="1:38">
      <c r="A15" s="11"/>
      <c r="B15" s="11"/>
      <c r="C15" s="11"/>
      <c r="D15" s="1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</row>
    <row r="16" s="1" customFormat="1" ht="31" customHeight="1" spans="1:38">
      <c r="A16" s="13" t="s">
        <v>131</v>
      </c>
      <c r="B16" s="13"/>
      <c r="C16" s="13"/>
      <c r="D16" s="1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="1" customFormat="1" ht="31" customHeight="1" spans="1:38">
      <c r="A17" s="5" t="s">
        <v>1</v>
      </c>
      <c r="B17" s="5" t="s">
        <v>2</v>
      </c>
      <c r="C17" s="5" t="s">
        <v>3</v>
      </c>
      <c r="D17" s="5" t="s">
        <v>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="1" customFormat="1" ht="29" customHeight="1" spans="1:38">
      <c r="A18" s="10" t="s">
        <v>132</v>
      </c>
      <c r="B18" s="10" t="s">
        <v>133</v>
      </c>
      <c r="C18" s="10">
        <v>30</v>
      </c>
      <c r="D18" s="9" t="s">
        <v>134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s="1" customFormat="1" ht="39" customHeight="1" spans="1:38">
      <c r="A19" s="10"/>
      <c r="B19" s="10" t="s">
        <v>135</v>
      </c>
      <c r="C19" s="10">
        <v>20</v>
      </c>
      <c r="D19" s="9" t="s">
        <v>136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="1" customFormat="1" ht="30" customHeight="1" spans="1:38">
      <c r="A20" s="10"/>
      <c r="B20" s="10" t="s">
        <v>137</v>
      </c>
      <c r="C20" s="10">
        <v>20</v>
      </c>
      <c r="D20" s="9" t="s">
        <v>138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="1" customFormat="1" ht="24" customHeight="1" spans="1:38">
      <c r="A21" s="10"/>
      <c r="B21" s="10" t="s">
        <v>139</v>
      </c>
      <c r="C21" s="10">
        <v>30</v>
      </c>
      <c r="D21" s="9" t="s">
        <v>140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</sheetData>
  <mergeCells count="6">
    <mergeCell ref="A1:D1"/>
    <mergeCell ref="A9:D9"/>
    <mergeCell ref="A16:D16"/>
    <mergeCell ref="A3:A7"/>
    <mergeCell ref="A11:A14"/>
    <mergeCell ref="A18:A2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市场线一季度</vt:lpstr>
      <vt:lpstr>一季度得分</vt:lpstr>
      <vt:lpstr>市场线二季度规则</vt:lpstr>
      <vt:lpstr>二季度得分</vt:lpstr>
      <vt:lpstr>政企线</vt:lpstr>
      <vt:lpstr>网络线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 </cp:lastModifiedBy>
  <dcterms:created xsi:type="dcterms:W3CDTF">2006-09-16T00:00:00Z</dcterms:created>
  <dcterms:modified xsi:type="dcterms:W3CDTF">2026-07-24T10:12:14Z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C8A5362439134C5B956E1565DFBC9201_13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