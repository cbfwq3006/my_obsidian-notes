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工作手机六万户" sheetId="1" r:id="rId1"/>
    <sheet name="专线联网5+1" sheetId="2" r:id="rId2"/>
    <sheet name="算网增收" sheetId="3" r:id="rId3"/>
    <sheet name="应收账款" sheetId="4" r:id="rId4"/>
    <sheet name="强企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<sst xmlns="http://schemas.openxmlformats.org/spreadsheetml/2006/main" count="135" uniqueCount="49">
  <si>
    <t>“工作手机六万户”先锋队打分表   主管：张家瑞</t>
  </si>
  <si>
    <t>序号</t>
  </si>
  <si>
    <t>单位</t>
  </si>
  <si>
    <t>发展目标完成率(50分）</t>
  </si>
  <si>
    <t>移网净增(10分）</t>
  </si>
  <si>
    <t>云犀净增(40分）</t>
  </si>
  <si>
    <t>合计得分</t>
  </si>
  <si>
    <t>排名</t>
  </si>
  <si>
    <t>目标完成率＜60%，不得分；目标完成率≥60%，线性计分，1.2倍封顶。</t>
  </si>
  <si>
    <t>移网出账用户净增为正，得基本分；移网出账用户净增为负，扣基本分。</t>
  </si>
  <si>
    <t>政要</t>
  </si>
  <si>
    <t>中站</t>
  </si>
  <si>
    <t>温县</t>
  </si>
  <si>
    <t>山阳</t>
  </si>
  <si>
    <t>孟州</t>
  </si>
  <si>
    <t>政企部</t>
  </si>
  <si>
    <t>武陟</t>
  </si>
  <si>
    <t>企业</t>
  </si>
  <si>
    <t>修武</t>
  </si>
  <si>
    <t>马村</t>
  </si>
  <si>
    <t>博爱</t>
  </si>
  <si>
    <t>沁阳</t>
  </si>
  <si>
    <t>解放</t>
  </si>
  <si>
    <t>校园</t>
  </si>
  <si>
    <t>备注：“工作手机六万户”先锋队：政要</t>
  </si>
  <si>
    <t>“专线联网5+1”先锋队打分表 主管：陈英杰</t>
  </si>
  <si>
    <t>双线发展完成率（50分）</t>
  </si>
  <si>
    <t>重点企业渗透率提升（30分）</t>
  </si>
  <si>
    <t>双线净增（20分）</t>
  </si>
  <si>
    <t>线性计分，1.2倍封顶。</t>
  </si>
  <si>
    <t>商企</t>
  </si>
  <si>
    <t>/</t>
  </si>
  <si>
    <t>备注：“专线联网5+1”先锋队：温县</t>
  </si>
  <si>
    <t>“算网增收”先锋队打分表         主管：王东晓</t>
  </si>
  <si>
    <t>签约额（40分）</t>
  </si>
  <si>
    <t>算网收入（60分）</t>
  </si>
  <si>
    <t>创新</t>
  </si>
  <si>
    <t>备注：“算网增收”先锋队：中站</t>
  </si>
  <si>
    <t>“应收账款”先锋队打分表   主管：向瑜洋</t>
  </si>
  <si>
    <t>应收账款回款（50分）</t>
  </si>
  <si>
    <t>存量应收账款回款（30分）</t>
  </si>
  <si>
    <t>项目新增应收账款回款（20分）</t>
  </si>
  <si>
    <t>线性得分，1.2倍封顶。</t>
  </si>
  <si>
    <t>备注：应收账款先锋队：山阳</t>
  </si>
  <si>
    <t>“强企”先锋队打分表     主管：李雨晴</t>
  </si>
  <si>
    <t>大企业市场拓展综合评价（50分）</t>
  </si>
  <si>
    <t>商企市场拓展综合评价（50分）</t>
  </si>
  <si>
    <t>评分规则:按照综合评分办法计分</t>
  </si>
  <si>
    <t>备注：“强企”先锋队：政企部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</si>
</sst>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_);[Red]\(0.0\)"/>
    <numFmt numFmtId="179" formatCode="0.0%"/>
    <numFmt numFmtId="180" formatCode="0_ "/>
  </numFmts>
  <fonts count="32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2"/>
      <color rgb="FF000000"/>
      <name val="宋体"/>
      <charset val="134"/>
    </font>
    <font>
      <b/>
      <sz val="16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rgb="FF000000"/>
      <name val="仿宋"/>
      <charset val="134"/>
    </font>
    <font>
      <b/>
      <sz val="11"/>
      <color rgb="FF000000"/>
      <name val="微软雅黑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rgb="FFFE0300"/>
      <name val="微软雅黑"/>
      <charset val="134"/>
    </font>
    <font>
      <sz val="12"/>
      <color rgb="FF000000"/>
      <name val="微软雅黑"/>
      <charset val="134"/>
    </font>
    <font>
      <sz val="11"/>
      <color rgb="FF000000"/>
      <name val="仿宋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176" fontId="4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176" fontId="4" fillId="3" borderId="1" xfId="0" applyNumberFormat="1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</xf>
    <xf numFmtId="176" fontId="5" fillId="2" borderId="1" xfId="0" applyNumberFormat="1" applyFont="1" applyFill="1" applyBorder="1" applyAlignment="1" applyProtection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3" borderId="3" xfId="0" applyFont="1" applyFill="1" applyBorder="1" applyAlignment="1" applyProtection="1">
      <alignment horizontal="center" vertical="center" wrapText="1"/>
    </xf>
    <xf numFmtId="177" fontId="5" fillId="4" borderId="1" xfId="0" applyNumberFormat="1" applyFont="1" applyFill="1" applyBorder="1" applyAlignment="1" applyProtection="1">
      <alignment horizontal="center" vertical="center"/>
    </xf>
    <xf numFmtId="177" fontId="5" fillId="4" borderId="4" xfId="0" applyNumberFormat="1" applyFont="1" applyFill="1" applyBorder="1" applyAlignment="1" applyProtection="1">
      <alignment horizontal="center" vertical="center"/>
    </xf>
    <xf numFmtId="177" fontId="5" fillId="3" borderId="4" xfId="0" applyNumberFormat="1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 wrapText="1"/>
    </xf>
    <xf numFmtId="177" fontId="5" fillId="0" borderId="1" xfId="0" applyNumberFormat="1" applyFont="1" applyBorder="1" applyAlignment="1" applyProtection="1">
      <alignment horizontal="center" vertical="center"/>
    </xf>
    <xf numFmtId="177" fontId="5" fillId="0" borderId="4" xfId="0" applyNumberFormat="1" applyFont="1" applyBorder="1" applyAlignment="1" applyProtection="1">
      <alignment horizontal="center" vertical="center"/>
    </xf>
    <xf numFmtId="177" fontId="5" fillId="2" borderId="4" xfId="0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4" fillId="3" borderId="3" xfId="0" applyFont="1" applyFill="1" applyBorder="1" applyAlignment="1" applyProtection="1">
      <alignment horizontal="center" vertical="center"/>
    </xf>
    <xf numFmtId="177" fontId="4" fillId="4" borderId="1" xfId="0" applyNumberFormat="1" applyFont="1" applyFill="1" applyBorder="1" applyAlignment="1" applyProtection="1">
      <alignment horizontal="center" vertical="center"/>
    </xf>
    <xf numFmtId="178" fontId="4" fillId="3" borderId="1" xfId="0" applyNumberFormat="1" applyFont="1" applyFill="1" applyBorder="1" applyAlignment="1" applyProtection="1">
      <alignment horizontal="center" vertical="center"/>
    </xf>
    <xf numFmtId="177" fontId="4" fillId="3" borderId="1" xfId="0" applyNumberFormat="1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177" fontId="4" fillId="0" borderId="1" xfId="0" applyNumberFormat="1" applyFont="1" applyBorder="1" applyAlignment="1" applyProtection="1">
      <alignment horizontal="center" vertical="center"/>
    </xf>
    <xf numFmtId="178" fontId="4" fillId="2" borderId="1" xfId="0" applyNumberFormat="1" applyFont="1" applyFill="1" applyBorder="1" applyAlignment="1" applyProtection="1">
      <alignment horizontal="center" vertical="center"/>
    </xf>
    <xf numFmtId="177" fontId="4" fillId="2" borderId="1" xfId="0" applyNumberFormat="1" applyFont="1" applyFill="1" applyBorder="1" applyAlignment="1" applyProtection="1">
      <alignment horizontal="center" vertical="center"/>
    </xf>
    <xf numFmtId="179" fontId="4" fillId="0" borderId="1" xfId="0" applyNumberFormat="1" applyFont="1" applyBorder="1" applyAlignment="1" applyProtection="1">
      <alignment horizontal="center" vertical="center"/>
    </xf>
    <xf numFmtId="179" fontId="4" fillId="2" borderId="1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8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177" fontId="9" fillId="3" borderId="1" xfId="0" applyNumberFormat="1" applyFont="1" applyFill="1" applyBorder="1" applyAlignment="1" applyProtection="1">
      <alignment horizontal="center" vertical="center"/>
    </xf>
    <xf numFmtId="180" fontId="4" fillId="3" borderId="1" xfId="0" applyNumberFormat="1" applyFont="1" applyFill="1" applyBorder="1" applyAlignment="1" applyProtection="1">
      <alignment horizontal="center" vertical="center"/>
    </xf>
    <xf numFmtId="178" fontId="10" fillId="3" borderId="1" xfId="0" applyNumberFormat="1" applyFont="1" applyFill="1" applyBorder="1" applyAlignment="1" applyProtection="1">
      <alignment horizontal="center" vertical="center"/>
    </xf>
    <xf numFmtId="177" fontId="9" fillId="2" borderId="1" xfId="0" applyNumberFormat="1" applyFont="1" applyFill="1" applyBorder="1" applyAlignment="1" applyProtection="1">
      <alignment horizontal="center" vertical="center"/>
    </xf>
    <xf numFmtId="180" fontId="4" fillId="2" borderId="1" xfId="0" applyNumberFormat="1" applyFont="1" applyFill="1" applyBorder="1" applyAlignment="1" applyProtection="1">
      <alignment horizontal="center" vertical="center"/>
    </xf>
    <xf numFmtId="178" fontId="10" fillId="2" borderId="1" xfId="0" applyNumberFormat="1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color rgb="FFFF0000"/>
      </font>
    </dxf>
    <dxf>
      <font>
        <b val="1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M19"/>
  <sheetViews>
    <sheetView tabSelected="1" topLeftCell="A3" workbookViewId="0">
      <selection activeCell="I9" sqref="I9"/>
    </sheetView>
  </sheetViews>
  <sheetFormatPr defaultColWidth="11.6666666666667" defaultRowHeight="14" customHeight="1"/>
  <cols>
    <col min="1" max="1" width="8.66666666666667" style="51" customWidth="1"/>
    <col min="2" max="2" width="10.3333333333333" style="15" customWidth="1"/>
    <col min="3" max="3" width="22.5" style="15" customWidth="1"/>
    <col min="4" max="4" width="16.1666666666667" style="15" customWidth="1"/>
    <col min="5" max="5" width="19.6666666666667" style="15" customWidth="1"/>
    <col min="6" max="6" width="11.6666666666667" style="15" customWidth="1"/>
    <col min="7" max="7" width="10.6666666666667" style="52" customWidth="1"/>
    <col min="8" max="39" width="11.6666666666667" style="15" customWidth="1"/>
  </cols>
  <sheetData>
    <row r="1" s="15" customFormat="1" ht="36" customHeight="1" spans="1:7">
      <c r="B1" s="18" t="s">
        <v>0</v>
      </c>
      <c r="C1" s="18"/>
      <c r="D1" s="18"/>
      <c r="E1" s="18"/>
      <c r="F1" s="18"/>
      <c r="G1" s="18"/>
    </row>
    <row r="2" s="15" customFormat="1" ht="34" customHeight="1" spans="1:7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7" t="s">
        <v>6</v>
      </c>
      <c r="G2" s="7" t="s">
        <v>7</v>
      </c>
    </row>
    <row r="3" s="15" customFormat="1" ht="85" customHeight="1" spans="1:7">
      <c r="A3" s="7"/>
      <c r="B3" s="7"/>
      <c r="C3" s="8" t="s">
        <v>8</v>
      </c>
      <c r="D3" s="8" t="s">
        <v>9</v>
      </c>
      <c r="E3" s="8" t="s">
        <v>8</v>
      </c>
      <c r="F3" s="7"/>
      <c r="G3" s="7"/>
    </row>
    <row r="4" s="15" customFormat="1" ht="19" customHeight="1" spans="1:7">
      <c r="A4" s="11">
        <v>1</v>
      </c>
      <c r="B4" s="11" t="s">
        <v>10</v>
      </c>
      <c r="C4" s="53">
        <v>41.5217939</v>
      </c>
      <c r="D4" s="11">
        <v>10</v>
      </c>
      <c r="E4" s="54">
        <v>48</v>
      </c>
      <c r="F4" s="55">
        <f t="shared" ref="F4:F17" si="0">SUM(C4:E4)</f>
        <v>99.5217939</v>
      </c>
      <c r="G4" s="11">
        <f t="shared" ref="G4:G17" si="1">RANK(F4,$F$4:$F$17)</f>
        <v>1</v>
      </c>
    </row>
    <row r="5" ht="19" customHeight="1" spans="1:7">
      <c r="A5" s="7">
        <v>2</v>
      </c>
      <c r="B5" s="7" t="s">
        <v>11</v>
      </c>
      <c r="C5" s="56">
        <v>60</v>
      </c>
      <c r="D5" s="7">
        <v>10</v>
      </c>
      <c r="E5" s="57">
        <v>0.48951049</v>
      </c>
      <c r="F5" s="58">
        <f t="shared" si="0"/>
        <v>70.48951049</v>
      </c>
      <c r="G5" s="7">
        <f t="shared" si="1"/>
        <v>2</v>
      </c>
    </row>
    <row r="6" ht="19" customHeight="1" spans="1:7">
      <c r="A6" s="7">
        <v>3</v>
      </c>
      <c r="B6" s="7" t="s">
        <v>12</v>
      </c>
      <c r="C6" s="56">
        <v>43.10462536</v>
      </c>
      <c r="D6" s="7">
        <v>10</v>
      </c>
      <c r="E6" s="57">
        <v>0</v>
      </c>
      <c r="F6" s="58">
        <f t="shared" si="0"/>
        <v>53.10462536</v>
      </c>
      <c r="G6" s="7">
        <f t="shared" si="1"/>
        <v>3</v>
      </c>
    </row>
    <row r="7" ht="19" customHeight="1" spans="1:7">
      <c r="A7" s="7">
        <v>4</v>
      </c>
      <c r="B7" s="7" t="s">
        <v>13</v>
      </c>
      <c r="C7" s="56">
        <v>39.48412698</v>
      </c>
      <c r="D7" s="7">
        <v>10</v>
      </c>
      <c r="E7" s="57">
        <v>3.101604278</v>
      </c>
      <c r="F7" s="58">
        <f t="shared" si="0"/>
        <v>52.585731258</v>
      </c>
      <c r="G7" s="7">
        <f t="shared" si="1"/>
        <v>4</v>
      </c>
    </row>
    <row r="8" ht="19" customHeight="1" spans="1:7">
      <c r="A8" s="7">
        <v>5</v>
      </c>
      <c r="B8" s="7" t="s">
        <v>14</v>
      </c>
      <c r="C8" s="56">
        <v>36.02292769</v>
      </c>
      <c r="D8" s="7">
        <v>10</v>
      </c>
      <c r="E8" s="57">
        <v>0</v>
      </c>
      <c r="F8" s="58">
        <f t="shared" si="0"/>
        <v>46.02292769</v>
      </c>
      <c r="G8" s="7">
        <f t="shared" si="1"/>
        <v>5</v>
      </c>
    </row>
    <row r="9" ht="19" customHeight="1" spans="1:7">
      <c r="A9" s="7">
        <v>6</v>
      </c>
      <c r="B9" s="7" t="s">
        <v>15</v>
      </c>
      <c r="C9" s="56">
        <v>24.61904762</v>
      </c>
      <c r="D9" s="7">
        <v>10</v>
      </c>
      <c r="E9" s="57">
        <v>0</v>
      </c>
      <c r="F9" s="58">
        <f t="shared" si="0"/>
        <v>34.61904762</v>
      </c>
      <c r="G9" s="7">
        <f t="shared" si="1"/>
        <v>6</v>
      </c>
    </row>
    <row r="10" ht="19" customHeight="1" spans="1:7">
      <c r="A10" s="7">
        <v>7</v>
      </c>
      <c r="B10" s="7" t="s">
        <v>16</v>
      </c>
      <c r="C10" s="56">
        <v>33.00865801</v>
      </c>
      <c r="D10" s="7">
        <v>0</v>
      </c>
      <c r="E10" s="57">
        <v>0</v>
      </c>
      <c r="F10" s="58">
        <f t="shared" si="0"/>
        <v>33.00865801</v>
      </c>
      <c r="G10" s="7">
        <f t="shared" si="1"/>
        <v>7</v>
      </c>
    </row>
    <row r="11" ht="19" customHeight="1" spans="1:7">
      <c r="A11" s="7">
        <v>8</v>
      </c>
      <c r="B11" s="7" t="s">
        <v>17</v>
      </c>
      <c r="C11" s="56">
        <v>19.55675352</v>
      </c>
      <c r="D11" s="7">
        <v>10</v>
      </c>
      <c r="E11" s="57">
        <v>0</v>
      </c>
      <c r="F11" s="58">
        <f t="shared" si="0"/>
        <v>29.55675352</v>
      </c>
      <c r="G11" s="7">
        <f t="shared" si="1"/>
        <v>8</v>
      </c>
    </row>
    <row r="12" ht="19" customHeight="1" spans="1:7">
      <c r="A12" s="7">
        <v>9</v>
      </c>
      <c r="B12" s="7" t="s">
        <v>18</v>
      </c>
      <c r="C12" s="56">
        <v>16.83609773</v>
      </c>
      <c r="D12" s="7">
        <v>10</v>
      </c>
      <c r="E12" s="57">
        <v>0</v>
      </c>
      <c r="F12" s="58">
        <f t="shared" si="0"/>
        <v>26.83609773</v>
      </c>
      <c r="G12" s="7">
        <f t="shared" si="1"/>
        <v>9</v>
      </c>
    </row>
    <row r="13" ht="19" customHeight="1" spans="1:7">
      <c r="A13" s="7">
        <v>10</v>
      </c>
      <c r="B13" s="7" t="s">
        <v>19</v>
      </c>
      <c r="C13" s="56">
        <v>11.11111111</v>
      </c>
      <c r="D13" s="7">
        <v>10</v>
      </c>
      <c r="E13" s="57">
        <v>0</v>
      </c>
      <c r="F13" s="58">
        <f t="shared" si="0"/>
        <v>21.11111111</v>
      </c>
      <c r="G13" s="7">
        <f t="shared" si="1"/>
        <v>10</v>
      </c>
    </row>
    <row r="14" ht="19" customHeight="1" spans="1:7">
      <c r="A14" s="7">
        <v>11</v>
      </c>
      <c r="B14" s="7" t="s">
        <v>20</v>
      </c>
      <c r="C14" s="56">
        <v>8.509700176</v>
      </c>
      <c r="D14" s="7">
        <v>10</v>
      </c>
      <c r="E14" s="57">
        <v>0</v>
      </c>
      <c r="F14" s="58">
        <f t="shared" si="0"/>
        <v>18.509700176</v>
      </c>
      <c r="G14" s="7">
        <f t="shared" si="1"/>
        <v>11</v>
      </c>
    </row>
    <row r="15" ht="19" customHeight="1" spans="1:7">
      <c r="A15" s="7">
        <v>12</v>
      </c>
      <c r="B15" s="7" t="s">
        <v>21</v>
      </c>
      <c r="C15" s="56">
        <v>5.472883598</v>
      </c>
      <c r="D15" s="7">
        <v>10</v>
      </c>
      <c r="E15" s="57">
        <v>0</v>
      </c>
      <c r="F15" s="58">
        <f t="shared" si="0"/>
        <v>15.472883598</v>
      </c>
      <c r="G15" s="7">
        <f t="shared" si="1"/>
        <v>12</v>
      </c>
    </row>
    <row r="16" ht="19" customHeight="1" spans="1:7">
      <c r="A16" s="7">
        <v>13</v>
      </c>
      <c r="B16" s="7" t="s">
        <v>22</v>
      </c>
      <c r="C16" s="56">
        <v>3.927553928</v>
      </c>
      <c r="D16" s="7">
        <v>10</v>
      </c>
      <c r="E16" s="57">
        <v>0</v>
      </c>
      <c r="F16" s="58">
        <f t="shared" si="0"/>
        <v>13.927553928</v>
      </c>
      <c r="G16" s="7">
        <f t="shared" si="1"/>
        <v>13</v>
      </c>
    </row>
    <row r="17" ht="19" customHeight="1" spans="1:39">
      <c r="A17" s="7">
        <v>14</v>
      </c>
      <c r="B17" s="7" t="s">
        <v>23</v>
      </c>
      <c r="C17" s="56">
        <v>3.69047619</v>
      </c>
      <c r="D17" s="7">
        <v>0</v>
      </c>
      <c r="E17" s="57">
        <v>0</v>
      </c>
      <c r="F17" s="58">
        <f t="shared" si="0"/>
        <v>3.69047619</v>
      </c>
      <c r="G17" s="7">
        <f t="shared" si="1"/>
        <v>14</v>
      </c>
    </row>
    <row r="18" customHeight="1" spans="1:39">
      <c r="A18" s="59" t="s">
        <v>24</v>
      </c>
      <c r="B18" s="59"/>
      <c r="C18" s="59"/>
      <c r="D18" s="59"/>
      <c r="E18" s="59"/>
      <c r="F18" s="59"/>
      <c r="G18" s="59"/>
    </row>
    <row r="19" s="50" customFormat="1" customHeight="1" spans="1:39">
      <c r="A19" s="60"/>
      <c r="B19" s="60"/>
      <c r="C19" s="60"/>
      <c r="D19" s="60"/>
      <c r="E19" s="60"/>
      <c r="F19" s="60"/>
      <c r="G19" s="60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</sheetData>
  <mergeCells count="6">
    <mergeCell ref="B1:G1"/>
    <mergeCell ref="A2:A3"/>
    <mergeCell ref="B2:B3"/>
    <mergeCell ref="F2:F3"/>
    <mergeCell ref="G2:G3"/>
    <mergeCell ref="A18:G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9"/>
  <sheetViews>
    <sheetView workbookViewId="0">
      <selection activeCell="A4" sqref="A4:G4"/>
    </sheetView>
  </sheetViews>
  <sheetFormatPr defaultColWidth="8.66666666666667" defaultRowHeight="13.5" customHeight="1" outlineLevelCol="6"/>
  <cols>
    <col min="1" max="1" width="8.66666666666667" style="38"/>
    <col min="2" max="2" width="7.83333333333333" style="38" customWidth="1"/>
    <col min="3" max="3" width="13" style="38" customWidth="1"/>
    <col min="4" max="4" width="13.5" style="38" customWidth="1"/>
    <col min="5" max="5" width="16.8333333333333" style="38" customWidth="1"/>
    <col min="6" max="6" width="10.3333333333333" style="38" customWidth="1"/>
    <col min="7" max="40" width="8.66666666666667" style="38"/>
  </cols>
  <sheetData>
    <row r="1" s="38" customFormat="1" customHeight="1" spans="1:7">
      <c r="A1" s="5" t="s">
        <v>25</v>
      </c>
      <c r="B1" s="5"/>
      <c r="C1" s="5"/>
      <c r="D1" s="5"/>
      <c r="E1" s="5"/>
      <c r="F1" s="5"/>
      <c r="G1" s="5"/>
    </row>
    <row r="2" s="38" customFormat="1" ht="49.5" customHeight="1" spans="1:7">
      <c r="A2" s="26" t="s">
        <v>1</v>
      </c>
      <c r="B2" s="26" t="s">
        <v>2</v>
      </c>
      <c r="C2" s="8" t="s">
        <v>26</v>
      </c>
      <c r="D2" s="8" t="s">
        <v>27</v>
      </c>
      <c r="E2" s="8" t="s">
        <v>28</v>
      </c>
      <c r="F2" s="26" t="s">
        <v>6</v>
      </c>
      <c r="G2" s="26" t="s">
        <v>7</v>
      </c>
    </row>
    <row r="3" s="38" customFormat="1" ht="33" customHeight="1" spans="1:7">
      <c r="A3" s="26"/>
      <c r="B3" s="26"/>
      <c r="C3" s="26" t="s">
        <v>29</v>
      </c>
      <c r="D3" s="26" t="s">
        <v>29</v>
      </c>
      <c r="E3" s="26" t="s">
        <v>29</v>
      </c>
      <c r="F3" s="26"/>
      <c r="G3" s="26"/>
    </row>
    <row r="4" s="38" customFormat="1" customHeight="1" spans="1:7">
      <c r="A4" s="11">
        <v>1</v>
      </c>
      <c r="B4" s="39" t="s">
        <v>12</v>
      </c>
      <c r="C4" s="40">
        <v>60</v>
      </c>
      <c r="D4" s="41">
        <v>27.2727272727273</v>
      </c>
      <c r="E4" s="42">
        <v>24</v>
      </c>
      <c r="F4" s="42">
        <v>111.272727272727</v>
      </c>
      <c r="G4" s="11">
        <v>1</v>
      </c>
    </row>
    <row r="5" s="38" customFormat="1" customHeight="1" spans="1:7">
      <c r="A5" s="7">
        <v>3</v>
      </c>
      <c r="B5" s="43" t="s">
        <v>13</v>
      </c>
      <c r="C5" s="44">
        <v>60</v>
      </c>
      <c r="D5" s="45">
        <v>0</v>
      </c>
      <c r="E5" s="46">
        <v>50</v>
      </c>
      <c r="F5" s="46">
        <v>110</v>
      </c>
      <c r="G5" s="7">
        <v>2</v>
      </c>
    </row>
    <row r="6" s="38" customFormat="1" customHeight="1" spans="1:7">
      <c r="A6" s="7">
        <v>2</v>
      </c>
      <c r="B6" s="43" t="s">
        <v>14</v>
      </c>
      <c r="C6" s="44">
        <v>60</v>
      </c>
      <c r="D6" s="45">
        <v>22.6490066225165</v>
      </c>
      <c r="E6" s="46">
        <v>24</v>
      </c>
      <c r="F6" s="46">
        <v>106.649006622517</v>
      </c>
      <c r="G6" s="7">
        <v>3</v>
      </c>
    </row>
    <row r="7" s="38" customFormat="1" customHeight="1" spans="1:7">
      <c r="A7" s="7">
        <v>4</v>
      </c>
      <c r="B7" s="43" t="s">
        <v>22</v>
      </c>
      <c r="C7" s="44">
        <v>56.4</v>
      </c>
      <c r="D7" s="45">
        <v>0</v>
      </c>
      <c r="E7" s="46">
        <v>50</v>
      </c>
      <c r="F7" s="46">
        <v>106.4</v>
      </c>
      <c r="G7" s="7">
        <v>4</v>
      </c>
    </row>
    <row r="8" s="38" customFormat="1" customHeight="1" spans="1:7">
      <c r="A8" s="7">
        <v>5</v>
      </c>
      <c r="B8" s="43" t="s">
        <v>15</v>
      </c>
      <c r="C8" s="44">
        <v>49.0555555555556</v>
      </c>
      <c r="D8" s="45">
        <v>22.2</v>
      </c>
      <c r="E8" s="46">
        <v>24</v>
      </c>
      <c r="F8" s="46">
        <v>95.2555555555556</v>
      </c>
      <c r="G8" s="7">
        <v>5</v>
      </c>
    </row>
    <row r="9" s="38" customFormat="1" customHeight="1" spans="1:7">
      <c r="A9" s="7">
        <v>6</v>
      </c>
      <c r="B9" s="43" t="s">
        <v>18</v>
      </c>
      <c r="C9" s="44">
        <v>40.75</v>
      </c>
      <c r="D9" s="45">
        <v>29.6969696969697</v>
      </c>
      <c r="E9" s="46">
        <v>24</v>
      </c>
      <c r="F9" s="46">
        <v>94.4469696969697</v>
      </c>
      <c r="G9" s="7">
        <v>6</v>
      </c>
    </row>
    <row r="10" s="38" customFormat="1" customHeight="1" spans="1:7">
      <c r="A10" s="7">
        <v>7</v>
      </c>
      <c r="B10" s="43" t="s">
        <v>20</v>
      </c>
      <c r="C10" s="44">
        <v>30.3333333333333</v>
      </c>
      <c r="D10" s="45">
        <v>27.7310924369748</v>
      </c>
      <c r="E10" s="46">
        <v>24</v>
      </c>
      <c r="F10" s="46">
        <v>82.0644257703082</v>
      </c>
      <c r="G10" s="7">
        <v>7</v>
      </c>
    </row>
    <row r="11" s="38" customFormat="1" customHeight="1" spans="1:7">
      <c r="A11" s="7">
        <v>8</v>
      </c>
      <c r="B11" s="43" t="s">
        <v>16</v>
      </c>
      <c r="C11" s="44">
        <v>41.1904761904762</v>
      </c>
      <c r="D11" s="45">
        <v>14.1984732824428</v>
      </c>
      <c r="E11" s="46">
        <v>24</v>
      </c>
      <c r="F11" s="46">
        <v>79.388949472919</v>
      </c>
      <c r="G11" s="7">
        <v>8</v>
      </c>
    </row>
    <row r="12" s="38" customFormat="1" customHeight="1" spans="1:7">
      <c r="A12" s="7">
        <v>9</v>
      </c>
      <c r="B12" s="43" t="s">
        <v>21</v>
      </c>
      <c r="C12" s="44">
        <v>45.8333333333333</v>
      </c>
      <c r="D12" s="45">
        <v>26.5979381443299</v>
      </c>
      <c r="E12" s="46">
        <v>1.11111111111111</v>
      </c>
      <c r="F12" s="46">
        <v>73.5423825887744</v>
      </c>
      <c r="G12" s="7">
        <v>9</v>
      </c>
    </row>
    <row r="13" s="38" customFormat="1" customHeight="1" spans="1:7">
      <c r="A13" s="7">
        <v>10</v>
      </c>
      <c r="B13" s="43" t="s">
        <v>17</v>
      </c>
      <c r="C13" s="44">
        <v>32.9629629629629</v>
      </c>
      <c r="D13" s="45">
        <v>16</v>
      </c>
      <c r="E13" s="46">
        <v>16.2962962962963</v>
      </c>
      <c r="F13" s="46">
        <v>65.2592592592593</v>
      </c>
      <c r="G13" s="7">
        <v>10</v>
      </c>
    </row>
    <row r="14" s="38" customFormat="1" customHeight="1" spans="1:7">
      <c r="A14" s="7">
        <v>11</v>
      </c>
      <c r="B14" s="43" t="s">
        <v>11</v>
      </c>
      <c r="C14" s="44">
        <v>25.625</v>
      </c>
      <c r="D14" s="45">
        <v>22.5974025974026</v>
      </c>
      <c r="E14" s="46">
        <v>6.5625</v>
      </c>
      <c r="F14" s="46">
        <v>54.7849025974026</v>
      </c>
      <c r="G14" s="7">
        <v>11</v>
      </c>
    </row>
    <row r="15" s="38" customFormat="1" customHeight="1" spans="1:7">
      <c r="A15" s="7">
        <v>12</v>
      </c>
      <c r="B15" s="43" t="s">
        <v>23</v>
      </c>
      <c r="C15" s="44">
        <v>30</v>
      </c>
      <c r="D15" s="45">
        <v>0</v>
      </c>
      <c r="E15" s="46">
        <v>16.6666666666667</v>
      </c>
      <c r="F15" s="46">
        <v>46.6666666666667</v>
      </c>
      <c r="G15" s="7">
        <v>12</v>
      </c>
    </row>
    <row r="16" s="38" customFormat="1" customHeight="1" spans="1:7">
      <c r="A16" s="7">
        <v>13</v>
      </c>
      <c r="B16" s="43" t="s">
        <v>10</v>
      </c>
      <c r="C16" s="44">
        <v>21.25</v>
      </c>
      <c r="D16" s="45">
        <v>0</v>
      </c>
      <c r="E16" s="46">
        <v>23.828125</v>
      </c>
      <c r="F16" s="46">
        <v>45.078125</v>
      </c>
      <c r="G16" s="7">
        <v>13</v>
      </c>
    </row>
    <row r="17" s="38" customFormat="1" customHeight="1" spans="1:7">
      <c r="A17" s="7">
        <v>14</v>
      </c>
      <c r="B17" s="43" t="s">
        <v>19</v>
      </c>
      <c r="C17" s="44">
        <v>13.5714285714286</v>
      </c>
      <c r="D17" s="45">
        <v>21.1764705882353</v>
      </c>
      <c r="E17" s="46">
        <v>0</v>
      </c>
      <c r="F17" s="46">
        <v>34.7478991596638</v>
      </c>
      <c r="G17" s="7">
        <v>14</v>
      </c>
    </row>
    <row r="18" s="38" customFormat="1" customHeight="1" spans="1:7">
      <c r="A18" s="7">
        <v>15</v>
      </c>
      <c r="B18" s="43" t="s">
        <v>30</v>
      </c>
      <c r="C18" s="47" t="s">
        <v>31</v>
      </c>
      <c r="D18" s="44" t="s">
        <v>31</v>
      </c>
      <c r="E18" s="48" t="s">
        <v>31</v>
      </c>
      <c r="F18" s="46" t="s">
        <v>31</v>
      </c>
      <c r="G18" s="7"/>
    </row>
    <row r="19" ht="41" customHeight="1" spans="1:7">
      <c r="A19" s="49" t="s">
        <v>32</v>
      </c>
      <c r="B19" s="49"/>
      <c r="C19" s="49"/>
      <c r="D19" s="49"/>
      <c r="E19" s="49"/>
      <c r="F19" s="49"/>
      <c r="G19" s="49"/>
    </row>
  </sheetData>
  <mergeCells count="6">
    <mergeCell ref="A1:G1"/>
    <mergeCell ref="A19:G19"/>
    <mergeCell ref="A2:A3"/>
    <mergeCell ref="B2:B3"/>
    <mergeCell ref="F2:F3"/>
    <mergeCell ref="G2:G3"/>
  </mergeCells>
  <conditionalFormatting sqref="G4:G18">
    <cfRule type="top10" dxfId="0" priority="1" bottom="1" rank="3"/>
    <cfRule type="top10" dxfId="1" priority="2" rank="3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9"/>
  <sheetViews>
    <sheetView workbookViewId="0">
      <selection activeCell="B4" sqref="B4:F4"/>
    </sheetView>
  </sheetViews>
  <sheetFormatPr defaultColWidth="9" defaultRowHeight="14.25" customHeight="1" outlineLevelCol="5"/>
  <cols>
    <col min="1" max="1" width="8.5" style="2" customWidth="1"/>
    <col min="2" max="2" width="10.5" style="2" customWidth="1"/>
    <col min="3" max="3" width="29.1666666666667" style="2" customWidth="1"/>
    <col min="4" max="4" width="28.3333333333333" style="2" customWidth="1"/>
    <col min="5" max="5" width="14.3333333333333" style="2" customWidth="1"/>
    <col min="6" max="6" width="17.8333333333333" style="23" customWidth="1"/>
    <col min="7" max="40" width="8.83333333333333" style="2"/>
  </cols>
  <sheetData>
    <row r="1" s="2" customFormat="1" ht="24" customHeight="1" spans="1:6">
      <c r="A1" s="5" t="s">
        <v>33</v>
      </c>
      <c r="B1" s="5"/>
      <c r="C1" s="5"/>
      <c r="D1" s="5"/>
      <c r="E1" s="5"/>
      <c r="F1" s="5"/>
    </row>
    <row r="2" s="2" customFormat="1" ht="24" customHeight="1" spans="1:6">
      <c r="A2" s="24" t="s">
        <v>1</v>
      </c>
      <c r="B2" s="24" t="s">
        <v>2</v>
      </c>
      <c r="C2" s="8" t="s">
        <v>34</v>
      </c>
      <c r="D2" s="8" t="s">
        <v>35</v>
      </c>
      <c r="E2" s="8" t="s">
        <v>6</v>
      </c>
      <c r="F2" s="25" t="s">
        <v>7</v>
      </c>
    </row>
    <row r="3" s="2" customFormat="1" ht="45" customHeight="1" spans="1:6">
      <c r="A3" s="24"/>
      <c r="B3" s="24"/>
      <c r="C3" s="26" t="s">
        <v>8</v>
      </c>
      <c r="D3" s="26" t="s">
        <v>8</v>
      </c>
      <c r="E3" s="8"/>
      <c r="F3" s="25"/>
    </row>
    <row r="4" s="2" customFormat="1" ht="18" customHeight="1" spans="1:6">
      <c r="A4" s="8">
        <v>1</v>
      </c>
      <c r="B4" s="27" t="s">
        <v>11</v>
      </c>
      <c r="C4" s="28">
        <v>48</v>
      </c>
      <c r="D4" s="29">
        <v>72</v>
      </c>
      <c r="E4" s="30">
        <f t="shared" ref="E4:E18" si="0">SUM(C4:D4)</f>
        <v>120</v>
      </c>
      <c r="F4" s="31">
        <f t="shared" ref="F4:F18" si="1">RANK(E4,$E$4:$E$18)</f>
        <v>1</v>
      </c>
    </row>
    <row r="5" s="2" customFormat="1" ht="18" customHeight="1" spans="1:6">
      <c r="A5" s="8">
        <v>2</v>
      </c>
      <c r="B5" s="32" t="s">
        <v>12</v>
      </c>
      <c r="C5" s="33">
        <v>42.62</v>
      </c>
      <c r="D5" s="34">
        <v>72</v>
      </c>
      <c r="E5" s="35">
        <f t="shared" si="0"/>
        <v>114.62</v>
      </c>
      <c r="F5" s="36">
        <f t="shared" si="1"/>
        <v>2</v>
      </c>
    </row>
    <row r="6" ht="18" customHeight="1" spans="1:6">
      <c r="A6" s="8">
        <v>3</v>
      </c>
      <c r="B6" s="32" t="s">
        <v>17</v>
      </c>
      <c r="C6" s="33">
        <v>38.6</v>
      </c>
      <c r="D6" s="34">
        <v>72</v>
      </c>
      <c r="E6" s="35">
        <f t="shared" si="0"/>
        <v>110.6</v>
      </c>
      <c r="F6" s="36">
        <f t="shared" si="1"/>
        <v>3</v>
      </c>
    </row>
    <row r="7" ht="18" customHeight="1" spans="1:6">
      <c r="A7" s="8">
        <v>4</v>
      </c>
      <c r="B7" s="32" t="s">
        <v>23</v>
      </c>
      <c r="C7" s="33">
        <v>35.75</v>
      </c>
      <c r="D7" s="34">
        <v>62.07</v>
      </c>
      <c r="E7" s="35">
        <f t="shared" si="0"/>
        <v>97.82</v>
      </c>
      <c r="F7" s="36">
        <f t="shared" si="1"/>
        <v>4</v>
      </c>
    </row>
    <row r="8" ht="18" customHeight="1" spans="1:6">
      <c r="A8" s="8">
        <v>5</v>
      </c>
      <c r="B8" s="32" t="s">
        <v>13</v>
      </c>
      <c r="C8" s="33">
        <v>29.26</v>
      </c>
      <c r="D8" s="34">
        <v>67.1</v>
      </c>
      <c r="E8" s="35">
        <f t="shared" si="0"/>
        <v>96.36</v>
      </c>
      <c r="F8" s="36">
        <f t="shared" si="1"/>
        <v>5</v>
      </c>
    </row>
    <row r="9" ht="18" customHeight="1" spans="1:6">
      <c r="A9" s="8">
        <v>6</v>
      </c>
      <c r="B9" s="32" t="s">
        <v>22</v>
      </c>
      <c r="C9" s="33">
        <v>32.37</v>
      </c>
      <c r="D9" s="34">
        <v>63.02</v>
      </c>
      <c r="E9" s="35">
        <f t="shared" si="0"/>
        <v>95.39</v>
      </c>
      <c r="F9" s="36">
        <f t="shared" si="1"/>
        <v>6</v>
      </c>
    </row>
    <row r="10" ht="18" customHeight="1" spans="1:6">
      <c r="A10" s="8">
        <v>7</v>
      </c>
      <c r="B10" s="32" t="s">
        <v>36</v>
      </c>
      <c r="C10" s="33">
        <v>20.12</v>
      </c>
      <c r="D10" s="34">
        <v>72</v>
      </c>
      <c r="E10" s="35">
        <f t="shared" si="0"/>
        <v>92.12</v>
      </c>
      <c r="F10" s="36">
        <f t="shared" si="1"/>
        <v>7</v>
      </c>
    </row>
    <row r="11" ht="18" customHeight="1" spans="1:6">
      <c r="A11" s="8">
        <v>8</v>
      </c>
      <c r="B11" s="32" t="s">
        <v>21</v>
      </c>
      <c r="C11" s="33">
        <v>15.7</v>
      </c>
      <c r="D11" s="34">
        <v>72</v>
      </c>
      <c r="E11" s="35">
        <f t="shared" si="0"/>
        <v>87.7</v>
      </c>
      <c r="F11" s="36">
        <f t="shared" si="1"/>
        <v>8</v>
      </c>
    </row>
    <row r="12" ht="18" customHeight="1" spans="1:6">
      <c r="A12" s="8">
        <v>9</v>
      </c>
      <c r="B12" s="32" t="s">
        <v>15</v>
      </c>
      <c r="C12" s="33">
        <v>20.12</v>
      </c>
      <c r="D12" s="34">
        <v>63.85</v>
      </c>
      <c r="E12" s="35">
        <f t="shared" si="0"/>
        <v>83.97</v>
      </c>
      <c r="F12" s="36">
        <f t="shared" si="1"/>
        <v>9</v>
      </c>
    </row>
    <row r="13" ht="18" customHeight="1" spans="1:6">
      <c r="A13" s="8">
        <v>10</v>
      </c>
      <c r="B13" s="32" t="s">
        <v>18</v>
      </c>
      <c r="C13" s="33">
        <v>26.07</v>
      </c>
      <c r="D13" s="34">
        <v>56.59</v>
      </c>
      <c r="E13" s="35">
        <f t="shared" si="0"/>
        <v>82.66</v>
      </c>
      <c r="F13" s="36">
        <f t="shared" si="1"/>
        <v>10</v>
      </c>
    </row>
    <row r="14" ht="18" customHeight="1" spans="1:6">
      <c r="A14" s="8">
        <v>11</v>
      </c>
      <c r="B14" s="32" t="s">
        <v>16</v>
      </c>
      <c r="C14" s="33">
        <v>24.86</v>
      </c>
      <c r="D14" s="34">
        <v>34.64</v>
      </c>
      <c r="E14" s="35">
        <f t="shared" si="0"/>
        <v>59.5</v>
      </c>
      <c r="F14" s="36">
        <f t="shared" si="1"/>
        <v>11</v>
      </c>
    </row>
    <row r="15" ht="18" customHeight="1" spans="1:6">
      <c r="A15" s="8">
        <v>12</v>
      </c>
      <c r="B15" s="32" t="s">
        <v>14</v>
      </c>
      <c r="C15" s="33">
        <v>16.73</v>
      </c>
      <c r="D15" s="34">
        <v>39.59</v>
      </c>
      <c r="E15" s="35">
        <f t="shared" si="0"/>
        <v>56.32</v>
      </c>
      <c r="F15" s="36">
        <f t="shared" si="1"/>
        <v>12</v>
      </c>
    </row>
    <row r="16" ht="18" customHeight="1" spans="1:6">
      <c r="A16" s="8">
        <v>13</v>
      </c>
      <c r="B16" s="32" t="s">
        <v>19</v>
      </c>
      <c r="C16" s="33">
        <v>7.14</v>
      </c>
      <c r="D16" s="34">
        <v>16.11</v>
      </c>
      <c r="E16" s="35">
        <f t="shared" si="0"/>
        <v>23.25</v>
      </c>
      <c r="F16" s="36">
        <f t="shared" si="1"/>
        <v>13</v>
      </c>
    </row>
    <row r="17" ht="18" customHeight="1" spans="1:6">
      <c r="A17" s="8">
        <v>14</v>
      </c>
      <c r="B17" s="19" t="s">
        <v>20</v>
      </c>
      <c r="C17" s="33">
        <v>3.47</v>
      </c>
      <c r="D17" s="33">
        <v>9.62</v>
      </c>
      <c r="E17" s="35">
        <f t="shared" si="0"/>
        <v>13.09</v>
      </c>
      <c r="F17" s="36">
        <f t="shared" si="1"/>
        <v>14</v>
      </c>
    </row>
    <row r="18" ht="18" customHeight="1" spans="1:6">
      <c r="A18" s="8">
        <v>15</v>
      </c>
      <c r="B18" s="19" t="s">
        <v>10</v>
      </c>
      <c r="C18" s="33">
        <v>0.11</v>
      </c>
      <c r="D18" s="33">
        <v>9.62</v>
      </c>
      <c r="E18" s="35">
        <f t="shared" si="0"/>
        <v>9.73</v>
      </c>
      <c r="F18" s="36">
        <f t="shared" si="1"/>
        <v>15</v>
      </c>
    </row>
    <row r="19" ht="26" customHeight="1" spans="1:6">
      <c r="A19" s="37" t="s">
        <v>37</v>
      </c>
      <c r="B19" s="37"/>
      <c r="C19" s="37"/>
      <c r="D19" s="37"/>
      <c r="E19" s="37"/>
      <c r="F19" s="37"/>
    </row>
  </sheetData>
  <mergeCells count="6">
    <mergeCell ref="A1:F1"/>
    <mergeCell ref="A19:F19"/>
    <mergeCell ref="A2:A3"/>
    <mergeCell ref="B2:B3"/>
    <mergeCell ref="E2:E3"/>
    <mergeCell ref="F2:F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8"/>
  <sheetViews>
    <sheetView workbookViewId="0">
      <selection activeCell="I3" sqref="I3"/>
    </sheetView>
  </sheetViews>
  <sheetFormatPr defaultColWidth="9" defaultRowHeight="14.25" customHeight="1" outlineLevelCol="6"/>
  <cols>
    <col min="1" max="1" width="12.8333333333333" style="15" customWidth="1"/>
    <col min="2" max="2" width="13.1666666666667" style="15" customWidth="1"/>
    <col min="3" max="3" width="21.1666666666667" style="15" customWidth="1"/>
    <col min="4" max="4" width="20.3333333333333" style="15" customWidth="1"/>
    <col min="5" max="5" width="18.1666666666667" style="15" customWidth="1"/>
    <col min="6" max="6" width="12.1666666666667" style="15" customWidth="1"/>
    <col min="7" max="7" width="21.6666666666667" style="15" customWidth="1"/>
    <col min="8" max="31" width="8.83333333333333" style="15"/>
    <col min="32" max="40" width="9" style="17"/>
  </cols>
  <sheetData>
    <row r="1" s="15" customFormat="1" ht="48" customHeight="1" spans="1:7">
      <c r="A1" s="18" t="s">
        <v>38</v>
      </c>
      <c r="B1" s="18"/>
      <c r="C1" s="18"/>
      <c r="D1" s="18"/>
      <c r="E1" s="18"/>
      <c r="F1" s="18"/>
      <c r="G1" s="18"/>
    </row>
    <row r="2" s="15" customFormat="1" ht="36" customHeight="1" spans="1:7">
      <c r="A2" s="19" t="s">
        <v>1</v>
      </c>
      <c r="B2" s="19" t="s">
        <v>2</v>
      </c>
      <c r="C2" s="19" t="s">
        <v>39</v>
      </c>
      <c r="D2" s="19" t="s">
        <v>40</v>
      </c>
      <c r="E2" s="19" t="s">
        <v>41</v>
      </c>
      <c r="F2" s="20" t="s">
        <v>6</v>
      </c>
      <c r="G2" s="20" t="s">
        <v>7</v>
      </c>
    </row>
    <row r="3" s="15" customFormat="1" ht="31" customHeight="1" spans="1:7">
      <c r="A3" s="19"/>
      <c r="B3" s="19"/>
      <c r="C3" s="19" t="s">
        <v>42</v>
      </c>
      <c r="D3" s="19" t="s">
        <v>42</v>
      </c>
      <c r="E3" s="19" t="s">
        <v>42</v>
      </c>
      <c r="F3" s="20"/>
      <c r="G3" s="20"/>
    </row>
    <row r="4" s="15" customFormat="1" ht="18" customHeight="1" spans="1:7">
      <c r="A4" s="20">
        <v>1</v>
      </c>
      <c r="B4" s="20" t="s">
        <v>13</v>
      </c>
      <c r="C4" s="21">
        <v>60</v>
      </c>
      <c r="D4" s="21">
        <v>36</v>
      </c>
      <c r="E4" s="21">
        <v>24</v>
      </c>
      <c r="F4" s="21">
        <v>120</v>
      </c>
      <c r="G4" s="20">
        <v>1</v>
      </c>
    </row>
    <row r="5" s="15" customFormat="1" ht="18" customHeight="1" spans="1:7">
      <c r="A5" s="20">
        <v>2</v>
      </c>
      <c r="B5" s="20" t="s">
        <v>12</v>
      </c>
      <c r="C5" s="21">
        <v>60</v>
      </c>
      <c r="D5" s="21">
        <v>36</v>
      </c>
      <c r="E5" s="21">
        <v>24</v>
      </c>
      <c r="F5" s="21">
        <v>120</v>
      </c>
      <c r="G5" s="20">
        <v>1</v>
      </c>
    </row>
    <row r="6" s="15" customFormat="1" ht="18" customHeight="1" spans="1:7">
      <c r="A6" s="20">
        <v>3</v>
      </c>
      <c r="B6" s="20" t="s">
        <v>10</v>
      </c>
      <c r="C6" s="21">
        <v>54.821092978761</v>
      </c>
      <c r="D6" s="21">
        <v>36</v>
      </c>
      <c r="E6" s="21">
        <v>24</v>
      </c>
      <c r="F6" s="21">
        <v>114.821092978761</v>
      </c>
      <c r="G6" s="20">
        <v>3</v>
      </c>
    </row>
    <row r="7" ht="18" customHeight="1" spans="1:7">
      <c r="A7" s="20">
        <v>4</v>
      </c>
      <c r="B7" s="20" t="s">
        <v>15</v>
      </c>
      <c r="C7" s="21">
        <v>50.4894644669149</v>
      </c>
      <c r="D7" s="21">
        <v>30.0130434782609</v>
      </c>
      <c r="E7" s="21">
        <v>24</v>
      </c>
      <c r="F7" s="21">
        <v>104.502507945176</v>
      </c>
      <c r="G7" s="20">
        <v>4</v>
      </c>
    </row>
    <row r="8" ht="18" customHeight="1" spans="1:7">
      <c r="A8" s="20">
        <v>5</v>
      </c>
      <c r="B8" s="20" t="s">
        <v>17</v>
      </c>
      <c r="C8" s="21">
        <v>56.5880544535745</v>
      </c>
      <c r="D8" s="21">
        <v>36</v>
      </c>
      <c r="E8" s="21">
        <v>0.273403267293315</v>
      </c>
      <c r="F8" s="21">
        <v>92.8614577208678</v>
      </c>
      <c r="G8" s="20">
        <v>5</v>
      </c>
    </row>
    <row r="9" ht="18" customHeight="1" spans="1:7">
      <c r="A9" s="20">
        <v>6</v>
      </c>
      <c r="B9" s="20" t="s">
        <v>20</v>
      </c>
      <c r="C9" s="21">
        <v>37.9502523880122</v>
      </c>
      <c r="D9" s="21">
        <v>27.587578909574</v>
      </c>
      <c r="E9" s="21">
        <v>24</v>
      </c>
      <c r="F9" s="21">
        <v>89.5378312975862</v>
      </c>
      <c r="G9" s="20">
        <v>6</v>
      </c>
    </row>
    <row r="10" ht="18" customHeight="1" spans="1:7">
      <c r="A10" s="20">
        <v>7</v>
      </c>
      <c r="B10" s="20" t="s">
        <v>11</v>
      </c>
      <c r="C10" s="21">
        <v>34.0057176753877</v>
      </c>
      <c r="D10" s="21">
        <v>18.1489241459617</v>
      </c>
      <c r="E10" s="21">
        <v>9.06760614881031</v>
      </c>
      <c r="F10" s="21">
        <v>61.2222479701596</v>
      </c>
      <c r="G10" s="20">
        <v>7</v>
      </c>
    </row>
    <row r="11" ht="18" customHeight="1" spans="1:7">
      <c r="A11" s="20">
        <v>8</v>
      </c>
      <c r="B11" s="20" t="s">
        <v>23</v>
      </c>
      <c r="C11" s="21">
        <v>23.5829347352244</v>
      </c>
      <c r="D11" s="21">
        <v>36</v>
      </c>
      <c r="E11" s="21">
        <v>0</v>
      </c>
      <c r="F11" s="21">
        <v>59.5829347352244</v>
      </c>
      <c r="G11" s="20">
        <v>8</v>
      </c>
    </row>
    <row r="12" ht="18" customHeight="1" spans="1:7">
      <c r="A12" s="20">
        <v>9</v>
      </c>
      <c r="B12" s="20" t="s">
        <v>18</v>
      </c>
      <c r="C12" s="21">
        <v>60</v>
      </c>
      <c r="D12" s="21">
        <v>-30.4419088491717</v>
      </c>
      <c r="E12" s="21">
        <v>24</v>
      </c>
      <c r="F12" s="21">
        <v>53.5580911508283</v>
      </c>
      <c r="G12" s="20">
        <v>9</v>
      </c>
    </row>
    <row r="13" ht="18" customHeight="1" spans="1:7">
      <c r="A13" s="20">
        <v>10</v>
      </c>
      <c r="B13" s="20" t="s">
        <v>19</v>
      </c>
      <c r="C13" s="21">
        <v>23.3255751323561</v>
      </c>
      <c r="D13" s="21">
        <v>4.65456919327368</v>
      </c>
      <c r="E13" s="21">
        <v>24</v>
      </c>
      <c r="F13" s="21">
        <v>51.9801443256298</v>
      </c>
      <c r="G13" s="20">
        <v>10</v>
      </c>
    </row>
    <row r="14" ht="18" customHeight="1" spans="1:7">
      <c r="A14" s="20">
        <v>11</v>
      </c>
      <c r="B14" s="20" t="s">
        <v>16</v>
      </c>
      <c r="C14" s="21">
        <v>27.9970604394149</v>
      </c>
      <c r="D14" s="21">
        <v>22.663595617219</v>
      </c>
      <c r="E14" s="21">
        <v>0.145449256390675</v>
      </c>
      <c r="F14" s="21">
        <v>50.8061053130246</v>
      </c>
      <c r="G14" s="20">
        <v>11</v>
      </c>
    </row>
    <row r="15" ht="18" customHeight="1" spans="1:7">
      <c r="A15" s="20">
        <v>12</v>
      </c>
      <c r="B15" s="20" t="s">
        <v>22</v>
      </c>
      <c r="C15" s="21">
        <v>27.0011457364053</v>
      </c>
      <c r="D15" s="21">
        <v>21.0193429048997</v>
      </c>
      <c r="E15" s="21">
        <v>2.29514258573313</v>
      </c>
      <c r="F15" s="21">
        <v>50.3156312270381</v>
      </c>
      <c r="G15" s="20">
        <v>12</v>
      </c>
    </row>
    <row r="16" ht="18" customHeight="1" spans="1:7">
      <c r="A16" s="20">
        <v>13</v>
      </c>
      <c r="B16" s="20" t="s">
        <v>21</v>
      </c>
      <c r="C16" s="21">
        <v>25.3410734034441</v>
      </c>
      <c r="D16" s="21">
        <v>20.6478963229359</v>
      </c>
      <c r="E16" s="21">
        <v>0</v>
      </c>
      <c r="F16" s="21">
        <v>45.9889697263801</v>
      </c>
      <c r="G16" s="20">
        <v>13</v>
      </c>
    </row>
    <row r="17" ht="18" customHeight="1" spans="1:7">
      <c r="A17" s="20">
        <v>14</v>
      </c>
      <c r="B17" s="20" t="s">
        <v>14</v>
      </c>
      <c r="C17" s="21">
        <v>11.832366285254</v>
      </c>
      <c r="D17" s="21">
        <v>7.45709372349046</v>
      </c>
      <c r="E17" s="21">
        <v>1.66401579050834</v>
      </c>
      <c r="F17" s="21">
        <v>20.9534757992528</v>
      </c>
      <c r="G17" s="20">
        <v>14</v>
      </c>
    </row>
    <row r="18" s="16" customFormat="1" ht="50" customHeight="1" spans="1:7">
      <c r="A18" s="22" t="s">
        <v>43</v>
      </c>
      <c r="B18" s="22"/>
      <c r="C18" s="22"/>
      <c r="D18" s="22"/>
      <c r="E18" s="22"/>
      <c r="F18" s="22"/>
      <c r="G18" s="22"/>
    </row>
  </sheetData>
  <mergeCells count="6">
    <mergeCell ref="A1:G1"/>
    <mergeCell ref="A18:G18"/>
    <mergeCell ref="A2:A3"/>
    <mergeCell ref="B2:B3"/>
    <mergeCell ref="F2:F3"/>
    <mergeCell ref="G2:G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J17"/>
  <sheetViews>
    <sheetView workbookViewId="0">
      <selection activeCell="B4" sqref="B4:F4"/>
    </sheetView>
  </sheetViews>
  <sheetFormatPr defaultColWidth="9" defaultRowHeight="41" customHeight="1"/>
  <cols>
    <col min="1" max="1" width="10" style="2" customWidth="1"/>
    <col min="2" max="2" width="9" style="2" customWidth="1"/>
    <col min="3" max="3" width="18.6666666666667" style="2" customWidth="1"/>
    <col min="4" max="4" width="19.6666666666667" style="2" customWidth="1"/>
    <col min="5" max="5" width="13.6666666666667" style="4" customWidth="1"/>
    <col min="6" max="6" width="13.6666666666667" style="2" customWidth="1"/>
    <col min="7" max="36" width="8.83333333333333" style="2"/>
  </cols>
  <sheetData>
    <row r="1" s="1" customFormat="1" customHeight="1" spans="1:36">
      <c r="A1" s="5" t="s">
        <v>44</v>
      </c>
      <c r="B1" s="5"/>
      <c r="C1" s="5"/>
      <c r="D1" s="5"/>
      <c r="E1" s="6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="1" customFormat="1" customHeight="1" spans="1:36">
      <c r="A2" s="7" t="s">
        <v>1</v>
      </c>
      <c r="B2" s="7" t="s">
        <v>2</v>
      </c>
      <c r="C2" s="8" t="s">
        <v>45</v>
      </c>
      <c r="D2" s="8" t="s">
        <v>46</v>
      </c>
      <c r="E2" s="9" t="s">
        <v>6</v>
      </c>
      <c r="F2" s="10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="1" customFormat="1" customHeight="1" spans="1:36">
      <c r="A3" s="7"/>
      <c r="B3" s="7"/>
      <c r="C3" s="8" t="s">
        <v>47</v>
      </c>
      <c r="D3" s="8" t="s">
        <v>47</v>
      </c>
      <c r="E3" s="9"/>
      <c r="F3" s="10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="1" customFormat="1" customHeight="1" spans="1:36">
      <c r="A4" s="8">
        <v>1</v>
      </c>
      <c r="B4" s="11" t="s">
        <v>15</v>
      </c>
      <c r="C4" s="12">
        <v>24.4846037483154</v>
      </c>
      <c r="D4" s="12">
        <v>45.915</v>
      </c>
      <c r="E4" s="12">
        <v>70.3996037483153</v>
      </c>
      <c r="F4" s="13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="1" customFormat="1" customHeight="1" spans="1:36">
      <c r="A5" s="7">
        <v>2</v>
      </c>
      <c r="B5" s="7" t="s">
        <v>13</v>
      </c>
      <c r="C5" s="9" t="s">
        <v>31</v>
      </c>
      <c r="D5" s="9">
        <v>64.12</v>
      </c>
      <c r="E5" s="9">
        <v>64.12</v>
      </c>
      <c r="F5" s="10">
        <v>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="2" customFormat="1" customHeight="1" spans="1:36">
      <c r="A6" s="8">
        <v>3</v>
      </c>
      <c r="B6" s="7" t="s">
        <v>14</v>
      </c>
      <c r="C6" s="9">
        <v>18.6992352004521</v>
      </c>
      <c r="D6" s="9">
        <v>36.77</v>
      </c>
      <c r="E6" s="9">
        <v>55.4692352004521</v>
      </c>
      <c r="F6" s="10">
        <v>3</v>
      </c>
    </row>
    <row r="7" s="1" customFormat="1" customHeight="1" spans="1:36">
      <c r="A7" s="7">
        <v>4</v>
      </c>
      <c r="B7" s="7" t="s">
        <v>22</v>
      </c>
      <c r="C7" s="9" t="s">
        <v>31</v>
      </c>
      <c r="D7" s="9">
        <v>55.24</v>
      </c>
      <c r="E7" s="9">
        <v>55.24</v>
      </c>
      <c r="F7" s="10">
        <v>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="1" customFormat="1" customHeight="1" spans="1:36">
      <c r="A8" s="8">
        <v>5</v>
      </c>
      <c r="B8" s="7" t="s">
        <v>11</v>
      </c>
      <c r="C8" s="9">
        <v>28.2125119568346</v>
      </c>
      <c r="D8" s="9">
        <v>19.46</v>
      </c>
      <c r="E8" s="9">
        <v>47.6725119568347</v>
      </c>
      <c r="F8" s="10">
        <v>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="1" customFormat="1" customHeight="1" spans="1:36">
      <c r="A9" s="7">
        <v>6</v>
      </c>
      <c r="B9" s="7" t="s">
        <v>30</v>
      </c>
      <c r="C9" s="9" t="s">
        <v>31</v>
      </c>
      <c r="D9" s="9">
        <v>45.915</v>
      </c>
      <c r="E9" s="9">
        <v>45.915</v>
      </c>
      <c r="F9" s="10">
        <v>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="1" customFormat="1" customHeight="1" spans="1:36">
      <c r="A10" s="8">
        <v>7</v>
      </c>
      <c r="B10" s="7" t="s">
        <v>17</v>
      </c>
      <c r="C10" s="9">
        <v>45.3417684444445</v>
      </c>
      <c r="D10" s="9" t="s">
        <v>31</v>
      </c>
      <c r="E10" s="9">
        <v>45.3417684444445</v>
      </c>
      <c r="F10" s="10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="1" customFormat="1" customHeight="1" spans="1:36">
      <c r="A11" s="7">
        <v>8</v>
      </c>
      <c r="B11" s="7" t="s">
        <v>18</v>
      </c>
      <c r="C11" s="9">
        <v>9.62440628425285</v>
      </c>
      <c r="D11" s="9">
        <v>34.84</v>
      </c>
      <c r="E11" s="9">
        <v>44.4644062842529</v>
      </c>
      <c r="F11" s="10">
        <v>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="1" customFormat="1" customHeight="1" spans="1:36">
      <c r="A12" s="8">
        <v>9</v>
      </c>
      <c r="B12" s="7" t="s">
        <v>12</v>
      </c>
      <c r="C12" s="9">
        <v>7.80761109645275</v>
      </c>
      <c r="D12" s="9">
        <v>35.22</v>
      </c>
      <c r="E12" s="9">
        <v>43.0276110964528</v>
      </c>
      <c r="F12" s="10">
        <v>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="1" customFormat="1" customHeight="1" spans="1:36">
      <c r="A13" s="7">
        <v>10</v>
      </c>
      <c r="B13" s="7" t="s">
        <v>21</v>
      </c>
      <c r="C13" s="9">
        <v>15.03933747412</v>
      </c>
      <c r="D13" s="9">
        <v>24.76</v>
      </c>
      <c r="E13" s="9">
        <v>39.7993374741201</v>
      </c>
      <c r="F13" s="10">
        <v>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="3" customFormat="1" customHeight="1" spans="1:36">
      <c r="A14" s="8">
        <v>11</v>
      </c>
      <c r="B14" s="8" t="s">
        <v>16</v>
      </c>
      <c r="C14" s="9">
        <v>16.4927884615384</v>
      </c>
      <c r="D14" s="9">
        <v>23.16</v>
      </c>
      <c r="E14" s="9">
        <v>39.6527884615384</v>
      </c>
      <c r="F14" s="10">
        <v>11</v>
      </c>
    </row>
    <row r="15" s="1" customFormat="1" customHeight="1" spans="1:36">
      <c r="A15" s="7">
        <v>12</v>
      </c>
      <c r="B15" s="7" t="s">
        <v>20</v>
      </c>
      <c r="C15" s="9">
        <v>11.9605944104602</v>
      </c>
      <c r="D15" s="9">
        <v>25.09</v>
      </c>
      <c r="E15" s="9">
        <v>37.0505944104602</v>
      </c>
      <c r="F15" s="10">
        <v>12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="1" customFormat="1" customHeight="1" spans="1:36">
      <c r="A16" s="8">
        <v>13</v>
      </c>
      <c r="B16" s="7" t="s">
        <v>19</v>
      </c>
      <c r="C16" s="9">
        <v>5.69642857142855</v>
      </c>
      <c r="D16" s="9">
        <v>19.73</v>
      </c>
      <c r="E16" s="9">
        <v>25.4264285714286</v>
      </c>
      <c r="F16" s="10">
        <v>13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customHeight="1" spans="1:6">
      <c r="A17" s="14" t="s">
        <v>48</v>
      </c>
      <c r="B17" s="14"/>
      <c r="C17" s="14"/>
      <c r="D17" s="14"/>
      <c r="E17" s="14"/>
      <c r="F17" s="14"/>
    </row>
  </sheetData>
  <mergeCells count="6">
    <mergeCell ref="A1:F1"/>
    <mergeCell ref="A17:F17"/>
    <mergeCell ref="A2:A3"/>
    <mergeCell ref="B2:B3"/>
    <mergeCell ref="E2:E3"/>
    <mergeCell ref="F2:F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工作手机六万户</vt:lpstr>
      <vt:lpstr>专线联网5+1</vt:lpstr>
      <vt:lpstr>算网增收</vt:lpstr>
      <vt:lpstr>应收账款</vt:lpstr>
      <vt:lpstr>强企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2006-09-16T00:00:00Z</dcterms:created>
  <dcterms:modified xsi:type="dcterms:W3CDTF">2026-07-24T09:47:24Z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7B87AE356A7146DC9F955097DDE657BA_13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