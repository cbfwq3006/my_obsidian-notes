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8460" activeTab="2"/>
  </bookViews>
  <sheets>
    <sheet name="市场线" sheetId="1" r:id="rId1"/>
    <sheet name="政企线" sheetId="2" r:id="rId2"/>
    <sheet name="网络线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<sst xmlns="http://schemas.openxmlformats.org/spreadsheetml/2006/main" count="259" uniqueCount="101">
  <si>
    <t>考核规则见市场线二季度表</t>
  </si>
  <si>
    <t>单位</t>
  </si>
  <si>
    <t>农村市场先锋队</t>
  </si>
  <si>
    <t>社区市场先锋队</t>
  </si>
  <si>
    <t>商户市场先锋队</t>
  </si>
  <si>
    <t>千村达标</t>
  </si>
  <si>
    <t>份额破局达标</t>
  </si>
  <si>
    <t>有效活动达标</t>
  </si>
  <si>
    <t>合计得分</t>
  </si>
  <si>
    <t>排名</t>
  </si>
  <si>
    <t>小区达标</t>
  </si>
  <si>
    <t>小区份额提升</t>
  </si>
  <si>
    <t>新模式活动达标</t>
  </si>
  <si>
    <t>宽带发展</t>
  </si>
  <si>
    <t>标准动作</t>
  </si>
  <si>
    <t>焦作市博爱县分公司</t>
  </si>
  <si>
    <t>博爱</t>
  </si>
  <si>
    <t>焦作市孟州市分公司</t>
  </si>
  <si>
    <t>孟州</t>
  </si>
  <si>
    <t>焦作市沁阳市分公司</t>
  </si>
  <si>
    <t>沁阳</t>
  </si>
  <si>
    <t>焦作市温县分公司</t>
  </si>
  <si>
    <t>温县</t>
  </si>
  <si>
    <t>焦作市武陟县分公司</t>
  </si>
  <si>
    <t>武陟</t>
  </si>
  <si>
    <t>焦作市修武县分公司</t>
  </si>
  <si>
    <t>修武</t>
  </si>
  <si>
    <t>焦作市中站区分公司</t>
  </si>
  <si>
    <t>中站</t>
  </si>
  <si>
    <t>焦作市马村区分公司</t>
  </si>
  <si>
    <t>马村</t>
  </si>
  <si>
    <t>焦作市解放区分公司</t>
  </si>
  <si>
    <t>解放</t>
  </si>
  <si>
    <t>焦作市山阳区分公司</t>
  </si>
  <si>
    <t>山阳</t>
  </si>
  <si>
    <t>焦作市分公司</t>
  </si>
  <si>
    <t>合计</t>
  </si>
  <si>
    <t>营业先锋队</t>
  </si>
  <si>
    <t>渠道先锋队</t>
  </si>
  <si>
    <t>客户服务先锋队</t>
  </si>
  <si>
    <t>移网发展</t>
  </si>
  <si>
    <t>存量百元</t>
  </si>
  <si>
    <t>手机终端合约</t>
  </si>
  <si>
    <t>重点发展指标完成</t>
  </si>
  <si>
    <t>有销渠道规模覆盖</t>
  </si>
  <si>
    <t>移宽融合渗透率</t>
  </si>
  <si>
    <t>春雷服务工单投诉压降</t>
  </si>
  <si>
    <t>服务工单综合评价</t>
  </si>
  <si>
    <t>工信部来量压降</t>
  </si>
  <si>
    <t>综合满意度</t>
  </si>
  <si>
    <t>扣分项</t>
  </si>
  <si>
    <t>“工作手机六万户”先锋队打分表   主管：张家瑞</t>
  </si>
  <si>
    <t>“专线联网5+1”先锋队打分表 主管：陈英杰</t>
  </si>
  <si>
    <t>“算网增收”先锋队打分表         主管：王东晓</t>
  </si>
  <si>
    <t>序号</t>
  </si>
  <si>
    <t>发展目标完成率(50分）</t>
  </si>
  <si>
    <t>移网净增(10分）</t>
  </si>
  <si>
    <t>云犀净增(40分）</t>
  </si>
  <si>
    <t>双线发展完成率（50分）</t>
  </si>
  <si>
    <t>重点企业渗透率提升（30分）</t>
  </si>
  <si>
    <t>双线净增（20分）</t>
  </si>
  <si>
    <t>签约额（40分）</t>
  </si>
  <si>
    <t>算网收入（60分）</t>
  </si>
  <si>
    <t>目标完成率＜60%，不得分；目标完成率≥60%，线性计分，1.2倍封顶。</t>
  </si>
  <si>
    <t>移网出账用户净增为正，得基本分；移网出账用户净增为负，扣基本分。</t>
  </si>
  <si>
    <t>线性计分，1.2倍封顶。</t>
  </si>
  <si>
    <t>政要</t>
  </si>
  <si>
    <t>企业</t>
  </si>
  <si>
    <t>校园</t>
  </si>
  <si>
    <t>政企部</t>
  </si>
  <si>
    <t>创新</t>
  </si>
  <si>
    <t>商企</t>
  </si>
  <si>
    <t>/</t>
  </si>
  <si>
    <t>备注：“专线联网5+1”先锋队：温县</t>
  </si>
  <si>
    <t>备注：“算网增收”先锋队：中站</t>
  </si>
  <si>
    <t>“应收账款”先锋队打分表   主管：向瑜洋</t>
  </si>
  <si>
    <t>“强企”先锋队打分表     主管：李雨晴</t>
  </si>
  <si>
    <t>应收账款回款（50分）</t>
  </si>
  <si>
    <t>存量应收账款回款（30分）</t>
  </si>
  <si>
    <t>项目新增应收账款回款（20分）</t>
  </si>
  <si>
    <t>大企业市场拓展综合评价（50分）</t>
  </si>
  <si>
    <t>商企市场拓展综合评价（50分）</t>
  </si>
  <si>
    <t>线性得分，1.2倍封顶。</t>
  </si>
  <si>
    <t>评分规则:按照综合评分办法计分</t>
  </si>
  <si>
    <t>备注：“强企”先锋队：政企部</t>
  </si>
  <si>
    <t>区县</t>
  </si>
  <si>
    <t>客户感知提升先锋队</t>
  </si>
  <si>
    <t>网络安全先锋队</t>
  </si>
  <si>
    <t>智家暖心行动先锋队</t>
  </si>
  <si>
    <t>网络部</t>
  </si>
  <si>
    <t>山马</t>
  </si>
  <si>
    <t>修武县</t>
  </si>
  <si>
    <t>解中</t>
  </si>
  <si>
    <t>解放区</t>
  </si>
  <si>
    <t>博爱县</t>
  </si>
  <si>
    <t>山阳区</t>
  </si>
  <si>
    <t>交付中心</t>
  </si>
  <si>
    <t>网络运营中心</t>
  </si>
  <si>
    <t>中站区</t>
  </si>
  <si>
    <t>武陟县</t>
  </si>
  <si>
    <t>马村区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</si>
</sst>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_ "/>
    <numFmt numFmtId="178" formatCode="0_ "/>
    <numFmt numFmtId="179" formatCode="0.0_);[Red]\(0.0\)"/>
    <numFmt numFmtId="180" formatCode="0.0%"/>
    <numFmt numFmtId="181" formatCode="0.00_ "/>
  </numFmts>
  <fonts count="3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</font>
    <font>
      <b/>
      <sz val="16"/>
      <color rgb="FF000000"/>
      <name val="微软雅黑"/>
      <charset val="134"/>
    </font>
    <font>
      <sz val="11"/>
      <color rgb="FF000000"/>
      <name val="微软雅黑"/>
      <charset val="134"/>
    </font>
    <font>
      <b/>
      <sz val="11"/>
      <color rgb="FF000000"/>
      <name val="微软雅黑"/>
      <charset val="134"/>
    </font>
    <font>
      <sz val="11"/>
      <color rgb="FFFE0300"/>
      <name val="微软雅黑"/>
      <charset val="134"/>
    </font>
    <font>
      <sz val="12"/>
      <color rgb="FF000000"/>
      <name val="微软雅黑"/>
      <charset val="134"/>
    </font>
    <font>
      <sz val="12"/>
      <color rgb="FF000000"/>
      <name val="仿宋"/>
      <charset val="134"/>
    </font>
    <font>
      <sz val="11"/>
      <color rgb="FF000000"/>
      <name val="等线"/>
      <charset val="134"/>
    </font>
    <font>
      <b/>
      <sz val="10"/>
      <name val="微软雅黑"/>
      <charset val="134"/>
    </font>
    <font>
      <sz val="12"/>
      <name val="宋体"/>
      <charset val="134"/>
      <scheme val="minor"/>
    </font>
    <font>
      <sz val="10"/>
      <name val="微软雅黑"/>
      <charset val="134"/>
    </font>
    <font>
      <sz val="10"/>
      <name val="Microsoft YaHei"/>
      <charset val="134"/>
    </font>
    <font>
      <sz val="12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5" borderId="9" applyNumberFormat="0" applyAlignment="0" applyProtection="0">
      <alignment vertical="center"/>
    </xf>
    <xf numFmtId="0" fontId="24" fillId="6" borderId="10" applyNumberFormat="0" applyAlignment="0" applyProtection="0">
      <alignment vertical="center"/>
    </xf>
    <xf numFmtId="0" fontId="25" fillId="6" borderId="9" applyNumberFormat="0" applyAlignment="0" applyProtection="0">
      <alignment vertical="center"/>
    </xf>
    <xf numFmtId="0" fontId="26" fillId="7" borderId="11" applyNumberFormat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3" borderId="2" xfId="0" applyFont="1" applyFill="1" applyBorder="1" applyAlignment="1" applyProtection="1">
      <alignment horizontal="center" vertical="center"/>
    </xf>
    <xf numFmtId="0" fontId="4" fillId="3" borderId="2" xfId="0" applyFont="1" applyFill="1" applyBorder="1" applyAlignment="1" applyProtection="1">
      <alignment horizontal="center" vertical="center" wrapText="1"/>
    </xf>
    <xf numFmtId="0" fontId="4" fillId="3" borderId="3" xfId="0" applyFont="1" applyFill="1" applyBorder="1" applyAlignment="1" applyProtection="1">
      <alignment horizontal="center" vertical="center" wrapText="1"/>
    </xf>
    <xf numFmtId="0" fontId="5" fillId="3" borderId="2" xfId="0" applyFont="1" applyFill="1" applyBorder="1" applyAlignment="1" applyProtection="1">
      <alignment horizontal="center" vertical="center" wrapText="1"/>
    </xf>
    <xf numFmtId="0" fontId="4" fillId="0" borderId="2" xfId="0" applyFont="1" applyFill="1" applyBorder="1" applyAlignment="1" applyProtection="1">
      <alignment horizontal="center" vertical="center"/>
    </xf>
    <xf numFmtId="0" fontId="4" fillId="2" borderId="2" xfId="0" applyFont="1" applyFill="1" applyBorder="1" applyAlignment="1" applyProtection="1">
      <alignment horizontal="center" vertical="center"/>
    </xf>
    <xf numFmtId="177" fontId="6" fillId="2" borderId="2" xfId="0" applyNumberFormat="1" applyFont="1" applyFill="1" applyBorder="1" applyAlignment="1" applyProtection="1">
      <alignment horizontal="center" vertical="center"/>
    </xf>
    <xf numFmtId="178" fontId="4" fillId="2" borderId="2" xfId="0" applyNumberFormat="1" applyFont="1" applyFill="1" applyBorder="1" applyAlignment="1" applyProtection="1">
      <alignment horizontal="center" vertical="center"/>
    </xf>
    <xf numFmtId="179" fontId="7" fillId="2" borderId="2" xfId="0" applyNumberFormat="1" applyFont="1" applyFill="1" applyBorder="1" applyAlignment="1" applyProtection="1">
      <alignment horizontal="center" vertical="center"/>
    </xf>
    <xf numFmtId="0" fontId="4" fillId="2" borderId="4" xfId="0" applyFont="1" applyFill="1" applyBorder="1" applyAlignment="1" applyProtection="1">
      <alignment horizontal="center" vertical="center"/>
    </xf>
    <xf numFmtId="177" fontId="4" fillId="2" borderId="2" xfId="0" applyNumberFormat="1" applyFont="1" applyFill="1" applyBorder="1" applyAlignment="1" applyProtection="1">
      <alignment horizontal="center" vertical="center"/>
    </xf>
    <xf numFmtId="179" fontId="4" fillId="2" borderId="2" xfId="0" applyNumberFormat="1" applyFont="1" applyFill="1" applyBorder="1" applyAlignment="1" applyProtection="1">
      <alignment horizontal="center" vertical="center"/>
    </xf>
    <xf numFmtId="0" fontId="8" fillId="2" borderId="4" xfId="0" applyFont="1" applyFill="1" applyBorder="1" applyAlignment="1" applyProtection="1">
      <alignment horizontal="center" vertical="center" wrapText="1"/>
    </xf>
    <xf numFmtId="177" fontId="8" fillId="2" borderId="2" xfId="0" applyNumberFormat="1" applyFont="1" applyFill="1" applyBorder="1" applyAlignment="1" applyProtection="1">
      <alignment horizontal="center" vertical="center"/>
    </xf>
    <xf numFmtId="177" fontId="8" fillId="2" borderId="5" xfId="0" applyNumberFormat="1" applyFont="1" applyFill="1" applyBorder="1" applyAlignment="1" applyProtection="1">
      <alignment horizontal="center" vertical="center"/>
    </xf>
    <xf numFmtId="177" fontId="8" fillId="2" borderId="5" xfId="0" applyNumberFormat="1" applyFont="1" applyFill="1" applyBorder="1" applyAlignment="1" applyProtection="1">
      <alignment horizontal="center" vertical="center" wrapText="1"/>
    </xf>
    <xf numFmtId="0" fontId="8" fillId="2" borderId="2" xfId="0" applyFont="1" applyFill="1" applyBorder="1" applyAlignment="1" applyProtection="1">
      <alignment horizontal="center" vertical="center"/>
    </xf>
    <xf numFmtId="177" fontId="6" fillId="3" borderId="2" xfId="0" applyNumberFormat="1" applyFont="1" applyFill="1" applyBorder="1" applyAlignment="1" applyProtection="1">
      <alignment horizontal="center" vertical="center"/>
    </xf>
    <xf numFmtId="178" fontId="4" fillId="3" borderId="2" xfId="0" applyNumberFormat="1" applyFont="1" applyFill="1" applyBorder="1" applyAlignment="1" applyProtection="1">
      <alignment horizontal="center" vertical="center"/>
    </xf>
    <xf numFmtId="179" fontId="7" fillId="3" borderId="2" xfId="0" applyNumberFormat="1" applyFont="1" applyFill="1" applyBorder="1" applyAlignment="1" applyProtection="1">
      <alignment horizontal="center" vertical="center"/>
    </xf>
    <xf numFmtId="0" fontId="4" fillId="3" borderId="4" xfId="0" applyFont="1" applyFill="1" applyBorder="1" applyAlignment="1" applyProtection="1">
      <alignment horizontal="center" vertical="center"/>
    </xf>
    <xf numFmtId="177" fontId="4" fillId="0" borderId="2" xfId="0" applyNumberFormat="1" applyFont="1" applyFill="1" applyBorder="1" applyAlignment="1" applyProtection="1">
      <alignment horizontal="center" vertical="center"/>
    </xf>
    <xf numFmtId="179" fontId="4" fillId="3" borderId="2" xfId="0" applyNumberFormat="1" applyFont="1" applyFill="1" applyBorder="1" applyAlignment="1" applyProtection="1">
      <alignment horizontal="center" vertical="center"/>
    </xf>
    <xf numFmtId="177" fontId="4" fillId="3" borderId="2" xfId="0" applyNumberFormat="1" applyFont="1" applyFill="1" applyBorder="1" applyAlignment="1" applyProtection="1">
      <alignment horizontal="center" vertical="center"/>
    </xf>
    <xf numFmtId="0" fontId="8" fillId="3" borderId="4" xfId="0" applyFont="1" applyFill="1" applyBorder="1" applyAlignment="1" applyProtection="1">
      <alignment horizontal="center" vertical="center" wrapText="1"/>
    </xf>
    <xf numFmtId="177" fontId="8" fillId="0" borderId="2" xfId="0" applyNumberFormat="1" applyFont="1" applyFill="1" applyBorder="1" applyAlignment="1" applyProtection="1">
      <alignment horizontal="center" vertical="center"/>
    </xf>
    <xf numFmtId="177" fontId="8" fillId="0" borderId="5" xfId="0" applyNumberFormat="1" applyFont="1" applyFill="1" applyBorder="1" applyAlignment="1" applyProtection="1">
      <alignment horizontal="center" vertical="center"/>
    </xf>
    <xf numFmtId="177" fontId="8" fillId="3" borderId="5" xfId="0" applyNumberFormat="1" applyFont="1" applyFill="1" applyBorder="1" applyAlignment="1" applyProtection="1">
      <alignment horizontal="center" vertical="center" wrapText="1"/>
    </xf>
    <xf numFmtId="0" fontId="8" fillId="0" borderId="2" xfId="0" applyFont="1" applyFill="1" applyBorder="1" applyAlignment="1" applyProtection="1">
      <alignment horizontal="center" vertical="center"/>
    </xf>
    <xf numFmtId="0" fontId="8" fillId="3" borderId="2" xfId="0" applyFont="1" applyFill="1" applyBorder="1" applyAlignment="1" applyProtection="1">
      <alignment horizontal="center" vertical="center" wrapText="1"/>
    </xf>
    <xf numFmtId="180" fontId="4" fillId="0" borderId="2" xfId="0" applyNumberFormat="1" applyFont="1" applyFill="1" applyBorder="1" applyAlignment="1" applyProtection="1">
      <alignment horizontal="center" vertical="center"/>
    </xf>
    <xf numFmtId="180" fontId="4" fillId="3" borderId="2" xfId="0" applyNumberFormat="1" applyFont="1" applyFill="1" applyBorder="1" applyAlignment="1" applyProtection="1">
      <alignment horizontal="center" vertical="center"/>
    </xf>
    <xf numFmtId="0" fontId="9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181" fontId="3" fillId="0" borderId="0" xfId="0" applyNumberFormat="1" applyFont="1" applyFill="1" applyAlignment="1">
      <alignment horizontal="center" vertical="center"/>
    </xf>
    <xf numFmtId="0" fontId="8" fillId="3" borderId="2" xfId="0" applyFont="1" applyFill="1" applyBorder="1" applyAlignment="1" applyProtection="1">
      <alignment horizontal="center" vertical="center"/>
    </xf>
    <xf numFmtId="181" fontId="4" fillId="3" borderId="2" xfId="0" applyNumberFormat="1" applyFont="1" applyFill="1" applyBorder="1" applyAlignment="1" applyProtection="1">
      <alignment horizontal="center" vertical="center" wrapText="1"/>
    </xf>
    <xf numFmtId="0" fontId="4" fillId="0" borderId="2" xfId="0" applyFont="1" applyFill="1" applyBorder="1" applyAlignment="1" applyProtection="1">
      <alignment horizontal="center" vertical="center" wrapText="1"/>
    </xf>
    <xf numFmtId="181" fontId="8" fillId="3" borderId="2" xfId="0" applyNumberFormat="1" applyFont="1" applyFill="1" applyBorder="1" applyAlignment="1" applyProtection="1">
      <alignment horizontal="center" vertical="center"/>
    </xf>
    <xf numFmtId="181" fontId="4" fillId="2" borderId="2" xfId="0" applyNumberFormat="1" applyFont="1" applyFill="1" applyBorder="1" applyAlignment="1" applyProtection="1">
      <alignment horizontal="center" vertical="center" wrapText="1"/>
    </xf>
    <xf numFmtId="0" fontId="4" fillId="2" borderId="2" xfId="0" applyFont="1" applyFill="1" applyBorder="1" applyAlignment="1" applyProtection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10" fillId="0" borderId="2" xfId="0" applyFont="1" applyFill="1" applyBorder="1" applyAlignment="1" applyProtection="1">
      <alignment horizontal="center" vertical="center" wrapText="1"/>
    </xf>
    <xf numFmtId="0" fontId="11" fillId="0" borderId="0" xfId="0" applyFont="1" applyFill="1" applyAlignment="1">
      <alignment vertical="center"/>
    </xf>
    <xf numFmtId="0" fontId="12" fillId="0" borderId="2" xfId="0" applyFont="1" applyFill="1" applyBorder="1" applyAlignment="1" applyProtection="1">
      <alignment horizontal="center" vertical="center"/>
    </xf>
    <xf numFmtId="2" fontId="13" fillId="0" borderId="2" xfId="0" applyNumberFormat="1" applyFont="1" applyFill="1" applyBorder="1" applyAlignment="1" applyProtection="1">
      <alignment horizontal="center" vertical="center"/>
    </xf>
    <xf numFmtId="0" fontId="13" fillId="0" borderId="2" xfId="0" applyFont="1" applyFill="1" applyBorder="1" applyAlignment="1" applyProtection="1">
      <alignment horizontal="center" vertical="center"/>
    </xf>
    <xf numFmtId="2" fontId="13" fillId="2" borderId="2" xfId="0" applyNumberFormat="1" applyFont="1" applyFill="1" applyBorder="1" applyAlignment="1" applyProtection="1">
      <alignment horizontal="center" vertical="center"/>
    </xf>
    <xf numFmtId="0" fontId="13" fillId="2" borderId="2" xfId="0" applyFont="1" applyFill="1" applyBorder="1" applyAlignment="1" applyProtection="1">
      <alignment horizontal="center" vertical="center"/>
    </xf>
    <xf numFmtId="0" fontId="12" fillId="2" borderId="2" xfId="0" applyFont="1" applyFill="1" applyBorder="1" applyAlignment="1" applyProtection="1">
      <alignment horizontal="center" vertical="center"/>
    </xf>
    <xf numFmtId="0" fontId="14" fillId="0" borderId="0" xfId="0" applyFont="1" applyFill="1" applyAlignment="1">
      <alignment vertical="center"/>
    </xf>
    <xf numFmtId="0" fontId="10" fillId="0" borderId="2" xfId="0" applyFont="1" applyFill="1" applyBorder="1" applyAlignment="1" applyProtection="1">
      <alignment horizontal="center" vertical="center"/>
    </xf>
    <xf numFmtId="0" fontId="10" fillId="0" borderId="3" xfId="0" applyFont="1" applyFill="1" applyBorder="1" applyAlignment="1" applyProtection="1">
      <alignment horizontal="center" vertical="center" wrapText="1"/>
    </xf>
    <xf numFmtId="181" fontId="13" fillId="0" borderId="2" xfId="0" applyNumberFormat="1" applyFont="1" applyFill="1" applyBorder="1" applyAlignment="1" applyProtection="1">
      <alignment horizontal="center" vertical="center"/>
    </xf>
    <xf numFmtId="0" fontId="13" fillId="0" borderId="4" xfId="0" applyFont="1" applyFill="1" applyBorder="1" applyAlignment="1" applyProtection="1">
      <alignment horizontal="center" vertical="center"/>
    </xf>
    <xf numFmtId="2" fontId="12" fillId="0" borderId="2" xfId="0" applyNumberFormat="1" applyFont="1" applyFill="1" applyBorder="1" applyAlignment="1" applyProtection="1">
      <alignment horizontal="center" vertical="center"/>
    </xf>
    <xf numFmtId="181" fontId="12" fillId="0" borderId="2" xfId="0" applyNumberFormat="1" applyFont="1" applyFill="1" applyBorder="1" applyAlignment="1" applyProtection="1">
      <alignment vertical="center"/>
    </xf>
    <xf numFmtId="0" fontId="13" fillId="2" borderId="4" xfId="0" applyFont="1" applyFill="1" applyBorder="1" applyAlignment="1" applyProtection="1">
      <alignment horizontal="center" vertical="center"/>
    </xf>
    <xf numFmtId="181" fontId="13" fillId="2" borderId="2" xfId="0" applyNumberFormat="1" applyFont="1" applyFill="1" applyBorder="1" applyAlignment="1" applyProtection="1">
      <alignment horizontal="center" vertical="center"/>
    </xf>
    <xf numFmtId="2" fontId="12" fillId="2" borderId="2" xfId="0" applyNumberFormat="1" applyFont="1" applyFill="1" applyBorder="1" applyAlignment="1" applyProtection="1">
      <alignment horizontal="center" vertical="center"/>
    </xf>
    <xf numFmtId="181" fontId="12" fillId="2" borderId="2" xfId="0" applyNumberFormat="1" applyFont="1" applyFill="1" applyBorder="1" applyAlignment="1" applyProtection="1">
      <alignment vertical="center"/>
    </xf>
    <xf numFmtId="0" fontId="12" fillId="0" borderId="2" xfId="0" applyFont="1" applyFill="1" applyBorder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ont>
        <b val="1"/>
        <color rgb="FF00B050"/>
      </font>
    </dxf>
    <dxf>
      <font>
        <b val="1"/>
        <color rgb="FFFF0000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7"/>
  <sheetViews>
    <sheetView workbookViewId="0">
      <selection activeCell="A1" sqref="A1:T27"/>
    </sheetView>
  </sheetViews>
  <sheetFormatPr defaultColWidth="8.88888888888889" defaultRowHeight="14.4"/>
  <sheetData>
    <row r="1" ht="15.6" spans="1:20">
      <c r="A1" s="50" t="s">
        <v>0</v>
      </c>
      <c r="B1" s="50" t="s">
        <v>1</v>
      </c>
      <c r="C1" s="50" t="s">
        <v>2</v>
      </c>
      <c r="D1" s="50"/>
      <c r="E1" s="50"/>
      <c r="F1" s="50"/>
      <c r="G1" s="50"/>
      <c r="H1" s="50" t="s">
        <v>3</v>
      </c>
      <c r="I1" s="50"/>
      <c r="J1" s="50"/>
      <c r="K1" s="50"/>
      <c r="L1" s="50"/>
      <c r="M1" s="50" t="s">
        <v>4</v>
      </c>
      <c r="N1" s="50"/>
      <c r="O1" s="50"/>
      <c r="P1" s="50"/>
      <c r="Q1" s="51"/>
      <c r="R1" s="51"/>
      <c r="S1" s="51"/>
      <c r="T1" s="51"/>
    </row>
    <row r="2" ht="31.2" spans="1:20">
      <c r="A2" s="50"/>
      <c r="B2" s="50"/>
      <c r="C2" s="50" t="s">
        <v>5</v>
      </c>
      <c r="D2" s="50" t="s">
        <v>6</v>
      </c>
      <c r="E2" s="50" t="s">
        <v>7</v>
      </c>
      <c r="F2" s="50" t="s">
        <v>8</v>
      </c>
      <c r="G2" s="50" t="s">
        <v>9</v>
      </c>
      <c r="H2" s="50" t="s">
        <v>10</v>
      </c>
      <c r="I2" s="50" t="s">
        <v>11</v>
      </c>
      <c r="J2" s="50" t="s">
        <v>12</v>
      </c>
      <c r="K2" s="50" t="s">
        <v>8</v>
      </c>
      <c r="L2" s="50" t="s">
        <v>9</v>
      </c>
      <c r="M2" s="50" t="s">
        <v>13</v>
      </c>
      <c r="N2" s="50" t="s">
        <v>14</v>
      </c>
      <c r="O2" s="50" t="s">
        <v>8</v>
      </c>
      <c r="P2" s="50" t="s">
        <v>9</v>
      </c>
      <c r="Q2" s="51"/>
      <c r="R2" s="51"/>
      <c r="S2" s="51"/>
      <c r="T2" s="51"/>
    </row>
    <row r="3" ht="15.6" spans="1:20">
      <c r="A3" s="52" t="s">
        <v>15</v>
      </c>
      <c r="B3" s="52" t="s">
        <v>16</v>
      </c>
      <c r="C3" s="53">
        <v>27.8</v>
      </c>
      <c r="D3" s="53">
        <v>28.1</v>
      </c>
      <c r="E3" s="53">
        <v>22.5</v>
      </c>
      <c r="F3" s="53">
        <v>78.4</v>
      </c>
      <c r="G3" s="54">
        <v>3</v>
      </c>
      <c r="H3" s="53">
        <v>48</v>
      </c>
      <c r="I3" s="53">
        <v>9.67</v>
      </c>
      <c r="J3" s="53">
        <v>36</v>
      </c>
      <c r="K3" s="53">
        <v>93.67</v>
      </c>
      <c r="L3" s="54">
        <v>3</v>
      </c>
      <c r="M3" s="53">
        <v>14.7</v>
      </c>
      <c r="N3" s="53">
        <v>44</v>
      </c>
      <c r="O3" s="53">
        <v>58.7</v>
      </c>
      <c r="P3" s="54">
        <v>8</v>
      </c>
      <c r="Q3" s="51"/>
      <c r="R3" s="51"/>
      <c r="S3" s="51"/>
      <c r="T3" s="51"/>
    </row>
    <row r="4" ht="15.6" spans="1:20">
      <c r="A4" s="52" t="s">
        <v>17</v>
      </c>
      <c r="B4" s="52" t="s">
        <v>18</v>
      </c>
      <c r="C4" s="53">
        <v>15.6</v>
      </c>
      <c r="D4" s="53">
        <v>20.5</v>
      </c>
      <c r="E4" s="53">
        <v>21.5</v>
      </c>
      <c r="F4" s="53">
        <v>57.6</v>
      </c>
      <c r="G4" s="54">
        <v>5</v>
      </c>
      <c r="H4" s="53">
        <v>22.22</v>
      </c>
      <c r="I4" s="53">
        <v>14.67</v>
      </c>
      <c r="J4" s="53">
        <v>21.12</v>
      </c>
      <c r="K4" s="53">
        <v>58.01</v>
      </c>
      <c r="L4" s="54">
        <v>5</v>
      </c>
      <c r="M4" s="53">
        <v>14</v>
      </c>
      <c r="N4" s="53">
        <v>50</v>
      </c>
      <c r="O4" s="53">
        <v>64</v>
      </c>
      <c r="P4" s="54">
        <v>5</v>
      </c>
      <c r="Q4" s="51"/>
      <c r="R4" s="51"/>
      <c r="S4" s="51"/>
      <c r="T4" s="51"/>
    </row>
    <row r="5" ht="15.6" spans="1:20">
      <c r="A5" s="52" t="s">
        <v>19</v>
      </c>
      <c r="B5" s="52" t="s">
        <v>20</v>
      </c>
      <c r="C5" s="53">
        <v>16.3</v>
      </c>
      <c r="D5" s="53">
        <v>28.8</v>
      </c>
      <c r="E5" s="53">
        <v>27</v>
      </c>
      <c r="F5" s="53">
        <v>72</v>
      </c>
      <c r="G5" s="54">
        <v>4</v>
      </c>
      <c r="H5" s="53">
        <v>13.33</v>
      </c>
      <c r="I5" s="53">
        <v>11.33</v>
      </c>
      <c r="J5" s="53">
        <v>27.52</v>
      </c>
      <c r="K5" s="53">
        <v>52.19</v>
      </c>
      <c r="L5" s="54">
        <v>7</v>
      </c>
      <c r="M5" s="55">
        <v>10</v>
      </c>
      <c r="N5" s="55">
        <v>60</v>
      </c>
      <c r="O5" s="55">
        <v>70</v>
      </c>
      <c r="P5" s="56">
        <v>1</v>
      </c>
      <c r="Q5" s="51"/>
      <c r="R5" s="51"/>
      <c r="S5" s="51"/>
      <c r="T5" s="51"/>
    </row>
    <row r="6" ht="15.6" spans="1:20">
      <c r="A6" s="52" t="s">
        <v>21</v>
      </c>
      <c r="B6" s="52" t="s">
        <v>22</v>
      </c>
      <c r="C6" s="53">
        <v>21.8</v>
      </c>
      <c r="D6" s="53">
        <v>35.8</v>
      </c>
      <c r="E6" s="53">
        <v>21.5</v>
      </c>
      <c r="F6" s="53">
        <v>79.2</v>
      </c>
      <c r="G6" s="54">
        <v>2</v>
      </c>
      <c r="H6" s="53">
        <v>44.44</v>
      </c>
      <c r="I6" s="53">
        <v>34.67</v>
      </c>
      <c r="J6" s="53">
        <v>28.96</v>
      </c>
      <c r="K6" s="53">
        <v>108.07</v>
      </c>
      <c r="L6" s="54">
        <v>2</v>
      </c>
      <c r="M6" s="53">
        <v>16.5</v>
      </c>
      <c r="N6" s="53">
        <v>46</v>
      </c>
      <c r="O6" s="53">
        <v>62.5</v>
      </c>
      <c r="P6" s="54">
        <v>7</v>
      </c>
      <c r="Q6" s="51"/>
      <c r="R6" s="51"/>
      <c r="S6" s="51"/>
      <c r="T6" s="51"/>
    </row>
    <row r="7" ht="15.6" spans="1:20">
      <c r="A7" s="52" t="s">
        <v>23</v>
      </c>
      <c r="B7" s="52" t="s">
        <v>24</v>
      </c>
      <c r="C7" s="53">
        <v>8.3</v>
      </c>
      <c r="D7" s="53">
        <v>8.6</v>
      </c>
      <c r="E7" s="53">
        <v>17.9</v>
      </c>
      <c r="F7" s="53">
        <v>34.8</v>
      </c>
      <c r="G7" s="54">
        <v>8</v>
      </c>
      <c r="H7" s="53">
        <v>0</v>
      </c>
      <c r="I7" s="53">
        <v>6.33</v>
      </c>
      <c r="J7" s="53">
        <v>23.04</v>
      </c>
      <c r="K7" s="53">
        <v>29.37</v>
      </c>
      <c r="L7" s="54">
        <v>10</v>
      </c>
      <c r="M7" s="53">
        <v>16.4</v>
      </c>
      <c r="N7" s="53">
        <v>48</v>
      </c>
      <c r="O7" s="53">
        <v>64.4</v>
      </c>
      <c r="P7" s="54">
        <v>4</v>
      </c>
      <c r="Q7" s="51"/>
      <c r="R7" s="51"/>
      <c r="S7" s="51"/>
      <c r="T7" s="51"/>
    </row>
    <row r="8" ht="15.6" spans="1:20">
      <c r="A8" s="52" t="s">
        <v>25</v>
      </c>
      <c r="B8" s="52" t="s">
        <v>26</v>
      </c>
      <c r="C8" s="53">
        <v>3.8</v>
      </c>
      <c r="D8" s="53">
        <v>3.4</v>
      </c>
      <c r="E8" s="53">
        <v>17.8</v>
      </c>
      <c r="F8" s="53">
        <v>24.9</v>
      </c>
      <c r="G8" s="54">
        <v>9</v>
      </c>
      <c r="H8" s="53">
        <v>20</v>
      </c>
      <c r="I8" s="53">
        <v>15.5</v>
      </c>
      <c r="J8" s="53">
        <v>18.4</v>
      </c>
      <c r="K8" s="53">
        <v>53.9</v>
      </c>
      <c r="L8" s="54">
        <v>6</v>
      </c>
      <c r="M8" s="53">
        <v>11.7</v>
      </c>
      <c r="N8" s="53">
        <v>56</v>
      </c>
      <c r="O8" s="53">
        <v>67.7</v>
      </c>
      <c r="P8" s="54">
        <v>2</v>
      </c>
      <c r="Q8" s="51"/>
      <c r="R8" s="51"/>
      <c r="S8" s="51"/>
      <c r="T8" s="51"/>
    </row>
    <row r="9" ht="15.6" spans="1:20">
      <c r="A9" s="52" t="s">
        <v>27</v>
      </c>
      <c r="B9" s="57" t="s">
        <v>28</v>
      </c>
      <c r="C9" s="55">
        <v>20</v>
      </c>
      <c r="D9" s="55">
        <v>40</v>
      </c>
      <c r="E9" s="55">
        <v>20.6</v>
      </c>
      <c r="F9" s="55">
        <v>80.6</v>
      </c>
      <c r="G9" s="56">
        <v>1</v>
      </c>
      <c r="H9" s="55">
        <v>40</v>
      </c>
      <c r="I9" s="55">
        <v>36</v>
      </c>
      <c r="J9" s="55">
        <v>36</v>
      </c>
      <c r="K9" s="55">
        <v>112</v>
      </c>
      <c r="L9" s="56">
        <v>1</v>
      </c>
      <c r="M9" s="53">
        <v>9</v>
      </c>
      <c r="N9" s="53">
        <v>42</v>
      </c>
      <c r="O9" s="53">
        <v>51</v>
      </c>
      <c r="P9" s="54">
        <v>10</v>
      </c>
      <c r="Q9" s="51"/>
      <c r="R9" s="51"/>
      <c r="S9" s="51"/>
      <c r="T9" s="51"/>
    </row>
    <row r="10" ht="15.6" spans="1:20">
      <c r="A10" s="52" t="s">
        <v>29</v>
      </c>
      <c r="B10" s="52" t="s">
        <v>30</v>
      </c>
      <c r="C10" s="53">
        <v>10</v>
      </c>
      <c r="D10" s="53">
        <v>20</v>
      </c>
      <c r="E10" s="53">
        <v>17.9</v>
      </c>
      <c r="F10" s="53">
        <v>47.9</v>
      </c>
      <c r="G10" s="54">
        <v>7</v>
      </c>
      <c r="H10" s="53">
        <v>13.33</v>
      </c>
      <c r="I10" s="53">
        <v>13</v>
      </c>
      <c r="J10" s="53">
        <v>20.44</v>
      </c>
      <c r="K10" s="53">
        <v>46.78</v>
      </c>
      <c r="L10" s="54">
        <v>8</v>
      </c>
      <c r="M10" s="53">
        <v>11.3</v>
      </c>
      <c r="N10" s="53">
        <v>54</v>
      </c>
      <c r="O10" s="53">
        <v>65.3</v>
      </c>
      <c r="P10" s="54">
        <v>3</v>
      </c>
      <c r="Q10" s="51"/>
      <c r="R10" s="51"/>
      <c r="S10" s="51"/>
      <c r="T10" s="51"/>
    </row>
    <row r="11" ht="15.6" spans="1:20">
      <c r="A11" s="52" t="s">
        <v>31</v>
      </c>
      <c r="B11" s="52" t="s">
        <v>32</v>
      </c>
      <c r="C11" s="53"/>
      <c r="D11" s="53"/>
      <c r="E11" s="53"/>
      <c r="F11" s="53"/>
      <c r="G11" s="54"/>
      <c r="H11" s="53">
        <v>20.74</v>
      </c>
      <c r="I11" s="53">
        <v>11.89</v>
      </c>
      <c r="J11" s="53">
        <v>25.85</v>
      </c>
      <c r="K11" s="53">
        <v>58.48</v>
      </c>
      <c r="L11" s="54">
        <v>4</v>
      </c>
      <c r="M11" s="53">
        <v>4.6</v>
      </c>
      <c r="N11" s="53">
        <v>52</v>
      </c>
      <c r="O11" s="53">
        <v>56.6</v>
      </c>
      <c r="P11" s="54">
        <v>9</v>
      </c>
      <c r="Q11" s="51"/>
      <c r="R11" s="51"/>
      <c r="S11" s="51"/>
      <c r="T11" s="51"/>
    </row>
    <row r="12" ht="15.6" spans="1:20">
      <c r="A12" s="52" t="s">
        <v>33</v>
      </c>
      <c r="B12" s="52" t="s">
        <v>34</v>
      </c>
      <c r="C12" s="53">
        <v>10</v>
      </c>
      <c r="D12" s="53">
        <v>13.3</v>
      </c>
      <c r="E12" s="53">
        <v>28.3</v>
      </c>
      <c r="F12" s="53">
        <v>51.6</v>
      </c>
      <c r="G12" s="54">
        <v>6</v>
      </c>
      <c r="H12" s="53">
        <v>2.22</v>
      </c>
      <c r="I12" s="53">
        <v>18.83</v>
      </c>
      <c r="J12" s="53">
        <v>16.45</v>
      </c>
      <c r="K12" s="53">
        <v>37.51</v>
      </c>
      <c r="L12" s="54">
        <v>9</v>
      </c>
      <c r="M12" s="53">
        <v>5.1</v>
      </c>
      <c r="N12" s="53">
        <v>58</v>
      </c>
      <c r="O12" s="53">
        <v>63.1</v>
      </c>
      <c r="P12" s="54">
        <v>6</v>
      </c>
      <c r="Q12" s="51"/>
      <c r="R12" s="51"/>
      <c r="S12" s="51"/>
      <c r="T12" s="51"/>
    </row>
    <row r="13" ht="15.6" spans="1:20">
      <c r="A13" s="52" t="s">
        <v>35</v>
      </c>
      <c r="B13" s="52" t="s">
        <v>36</v>
      </c>
      <c r="C13" s="53">
        <v>15.3</v>
      </c>
      <c r="D13" s="53">
        <v>20.2</v>
      </c>
      <c r="E13" s="53">
        <v>21.1</v>
      </c>
      <c r="F13" s="53">
        <f>SUM(C13:E13)</f>
        <v>56.6</v>
      </c>
      <c r="G13" s="54"/>
      <c r="H13" s="53">
        <v>20</v>
      </c>
      <c r="I13" s="53">
        <v>15.98</v>
      </c>
      <c r="J13" s="53">
        <v>25.97</v>
      </c>
      <c r="K13" s="53">
        <v>61.95</v>
      </c>
      <c r="L13" s="54"/>
      <c r="M13" s="53">
        <v>11.1</v>
      </c>
      <c r="N13" s="53">
        <v>60</v>
      </c>
      <c r="O13" s="53">
        <v>71.1</v>
      </c>
      <c r="P13" s="54"/>
      <c r="Q13" s="51"/>
      <c r="R13" s="51"/>
      <c r="S13" s="51"/>
      <c r="T13" s="51"/>
    </row>
    <row r="14" ht="15.6" spans="1:20">
      <c r="A14" s="58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</row>
    <row r="15" ht="15.6" spans="1:20">
      <c r="A15" s="50" t="s">
        <v>0</v>
      </c>
      <c r="B15" s="50" t="s">
        <v>1</v>
      </c>
      <c r="C15" s="50" t="s">
        <v>37</v>
      </c>
      <c r="D15" s="50"/>
      <c r="E15" s="50"/>
      <c r="F15" s="50"/>
      <c r="G15" s="50"/>
      <c r="H15" s="50"/>
      <c r="I15" s="50" t="s">
        <v>38</v>
      </c>
      <c r="J15" s="50"/>
      <c r="K15" s="50"/>
      <c r="L15" s="50"/>
      <c r="M15" s="50"/>
      <c r="N15" s="59" t="s">
        <v>39</v>
      </c>
      <c r="O15" s="59"/>
      <c r="P15" s="59"/>
      <c r="Q15" s="59"/>
      <c r="R15" s="59"/>
      <c r="S15" s="59"/>
      <c r="T15" s="59"/>
    </row>
    <row r="16" ht="46.8" spans="1:20">
      <c r="A16" s="50"/>
      <c r="B16" s="50"/>
      <c r="C16" s="50" t="s">
        <v>40</v>
      </c>
      <c r="D16" s="50" t="s">
        <v>13</v>
      </c>
      <c r="E16" s="50" t="s">
        <v>41</v>
      </c>
      <c r="F16" s="50" t="s">
        <v>42</v>
      </c>
      <c r="G16" s="50" t="s">
        <v>8</v>
      </c>
      <c r="H16" s="50" t="s">
        <v>9</v>
      </c>
      <c r="I16" s="50" t="s">
        <v>43</v>
      </c>
      <c r="J16" s="50" t="s">
        <v>44</v>
      </c>
      <c r="K16" s="50" t="s">
        <v>45</v>
      </c>
      <c r="L16" s="50" t="s">
        <v>8</v>
      </c>
      <c r="M16" s="50" t="s">
        <v>9</v>
      </c>
      <c r="N16" s="60" t="s">
        <v>46</v>
      </c>
      <c r="O16" s="60" t="s">
        <v>47</v>
      </c>
      <c r="P16" s="60" t="s">
        <v>48</v>
      </c>
      <c r="Q16" s="60" t="s">
        <v>49</v>
      </c>
      <c r="R16" s="50" t="s">
        <v>50</v>
      </c>
      <c r="S16" s="50" t="s">
        <v>8</v>
      </c>
      <c r="T16" s="50" t="s">
        <v>9</v>
      </c>
    </row>
    <row r="17" ht="15" spans="1:20">
      <c r="A17" s="52" t="s">
        <v>15</v>
      </c>
      <c r="B17" s="52" t="s">
        <v>16</v>
      </c>
      <c r="C17" s="61">
        <v>23.14</v>
      </c>
      <c r="D17" s="61">
        <v>13.4</v>
      </c>
      <c r="E17" s="61">
        <v>30</v>
      </c>
      <c r="F17" s="61">
        <v>23.77</v>
      </c>
      <c r="G17" s="61">
        <v>90.31</v>
      </c>
      <c r="H17" s="54">
        <v>3</v>
      </c>
      <c r="I17" s="54">
        <v>55.26</v>
      </c>
      <c r="J17" s="54">
        <v>21.88</v>
      </c>
      <c r="K17" s="53">
        <v>20</v>
      </c>
      <c r="L17" s="54">
        <v>97.14</v>
      </c>
      <c r="M17" s="62">
        <v>2</v>
      </c>
      <c r="N17" s="52">
        <v>2.03</v>
      </c>
      <c r="O17" s="63">
        <v>25</v>
      </c>
      <c r="P17" s="63">
        <v>0</v>
      </c>
      <c r="Q17" s="63">
        <v>25</v>
      </c>
      <c r="R17" s="63">
        <v>-1</v>
      </c>
      <c r="S17" s="64">
        <f t="shared" ref="S17:S27" si="0">SUM(N17:R17)</f>
        <v>51.03</v>
      </c>
      <c r="T17" s="52">
        <f t="shared" ref="T17:T26" si="1">RANK(S17,$S$17:$S$26)</f>
        <v>8</v>
      </c>
    </row>
    <row r="18" ht="15" spans="1:20">
      <c r="A18" s="52" t="s">
        <v>17</v>
      </c>
      <c r="B18" s="52" t="s">
        <v>18</v>
      </c>
      <c r="C18" s="61">
        <v>14.66</v>
      </c>
      <c r="D18" s="61">
        <v>11.04</v>
      </c>
      <c r="E18" s="61">
        <v>25.75</v>
      </c>
      <c r="F18" s="61">
        <v>20.92</v>
      </c>
      <c r="G18" s="61">
        <v>72.36</v>
      </c>
      <c r="H18" s="54">
        <v>8</v>
      </c>
      <c r="I18" s="54">
        <v>46.85</v>
      </c>
      <c r="J18" s="54">
        <v>28.97</v>
      </c>
      <c r="K18" s="53">
        <v>20</v>
      </c>
      <c r="L18" s="54">
        <v>95.81</v>
      </c>
      <c r="M18" s="62">
        <v>3</v>
      </c>
      <c r="N18" s="52">
        <v>9.48</v>
      </c>
      <c r="O18" s="63">
        <v>25</v>
      </c>
      <c r="P18" s="63">
        <v>25</v>
      </c>
      <c r="Q18" s="63">
        <v>25</v>
      </c>
      <c r="R18" s="63">
        <v>-1</v>
      </c>
      <c r="S18" s="64">
        <f t="shared" si="0"/>
        <v>83.48</v>
      </c>
      <c r="T18" s="52">
        <f t="shared" si="1"/>
        <v>4</v>
      </c>
    </row>
    <row r="19" ht="15" spans="1:20">
      <c r="A19" s="52" t="s">
        <v>19</v>
      </c>
      <c r="B19" s="52" t="s">
        <v>20</v>
      </c>
      <c r="C19" s="61">
        <v>22.31</v>
      </c>
      <c r="D19" s="61">
        <v>12.54</v>
      </c>
      <c r="E19" s="61">
        <v>24.11</v>
      </c>
      <c r="F19" s="61">
        <v>17.01</v>
      </c>
      <c r="G19" s="61">
        <v>75.97</v>
      </c>
      <c r="H19" s="54">
        <v>6</v>
      </c>
      <c r="I19" s="54">
        <v>34.01</v>
      </c>
      <c r="J19" s="54">
        <v>27.18</v>
      </c>
      <c r="K19" s="53">
        <v>20</v>
      </c>
      <c r="L19" s="54">
        <v>81.19</v>
      </c>
      <c r="M19" s="62">
        <v>4</v>
      </c>
      <c r="N19" s="52">
        <v>8.62</v>
      </c>
      <c r="O19" s="63">
        <v>25</v>
      </c>
      <c r="P19" s="63">
        <v>0</v>
      </c>
      <c r="Q19" s="63">
        <v>25</v>
      </c>
      <c r="R19" s="63">
        <v>-1</v>
      </c>
      <c r="S19" s="64">
        <f t="shared" si="0"/>
        <v>57.62</v>
      </c>
      <c r="T19" s="52">
        <f t="shared" si="1"/>
        <v>7</v>
      </c>
    </row>
    <row r="20" ht="15" spans="1:20">
      <c r="A20" s="52" t="s">
        <v>21</v>
      </c>
      <c r="B20" s="52" t="s">
        <v>22</v>
      </c>
      <c r="C20" s="61">
        <v>16.09</v>
      </c>
      <c r="D20" s="61">
        <v>11.04</v>
      </c>
      <c r="E20" s="61">
        <v>21.01</v>
      </c>
      <c r="F20" s="61">
        <v>30</v>
      </c>
      <c r="G20" s="61">
        <v>78.14</v>
      </c>
      <c r="H20" s="54">
        <v>5</v>
      </c>
      <c r="I20" s="56">
        <v>51.42</v>
      </c>
      <c r="J20" s="56">
        <v>25.77</v>
      </c>
      <c r="K20" s="55">
        <v>20</v>
      </c>
      <c r="L20" s="56">
        <v>97.19</v>
      </c>
      <c r="M20" s="65">
        <v>1</v>
      </c>
      <c r="N20" s="52">
        <v>18.8</v>
      </c>
      <c r="O20" s="63">
        <v>25</v>
      </c>
      <c r="P20" s="63">
        <v>10</v>
      </c>
      <c r="Q20" s="63">
        <v>25</v>
      </c>
      <c r="R20" s="63">
        <v>-3</v>
      </c>
      <c r="S20" s="64">
        <f t="shared" si="0"/>
        <v>75.8</v>
      </c>
      <c r="T20" s="52">
        <f t="shared" si="1"/>
        <v>5</v>
      </c>
    </row>
    <row r="21" ht="15" spans="1:20">
      <c r="A21" s="52" t="s">
        <v>23</v>
      </c>
      <c r="B21" s="52" t="s">
        <v>24</v>
      </c>
      <c r="C21" s="61">
        <v>16.94</v>
      </c>
      <c r="D21" s="61">
        <v>11.67</v>
      </c>
      <c r="E21" s="61">
        <v>20.59</v>
      </c>
      <c r="F21" s="61">
        <v>17.69</v>
      </c>
      <c r="G21" s="61">
        <v>66.89</v>
      </c>
      <c r="H21" s="54">
        <v>9</v>
      </c>
      <c r="I21" s="54">
        <v>27.93</v>
      </c>
      <c r="J21" s="54">
        <v>21.47</v>
      </c>
      <c r="K21" s="53">
        <v>15.86</v>
      </c>
      <c r="L21" s="54">
        <v>65.26</v>
      </c>
      <c r="M21" s="62">
        <v>6</v>
      </c>
      <c r="N21" s="52">
        <v>6.85</v>
      </c>
      <c r="O21" s="63">
        <v>20</v>
      </c>
      <c r="P21" s="63">
        <v>0</v>
      </c>
      <c r="Q21" s="63">
        <v>25</v>
      </c>
      <c r="R21" s="63">
        <v>-3</v>
      </c>
      <c r="S21" s="64">
        <f t="shared" si="0"/>
        <v>48.85</v>
      </c>
      <c r="T21" s="52">
        <f t="shared" si="1"/>
        <v>9</v>
      </c>
    </row>
    <row r="22" ht="15" spans="1:20">
      <c r="A22" s="52" t="s">
        <v>25</v>
      </c>
      <c r="B22" s="57" t="s">
        <v>26</v>
      </c>
      <c r="C22" s="66">
        <v>30</v>
      </c>
      <c r="D22" s="66">
        <v>14.39</v>
      </c>
      <c r="E22" s="66">
        <v>28.98</v>
      </c>
      <c r="F22" s="66">
        <v>28.33</v>
      </c>
      <c r="G22" s="66">
        <v>101.71</v>
      </c>
      <c r="H22" s="56">
        <v>1</v>
      </c>
      <c r="I22" s="54">
        <v>37.46</v>
      </c>
      <c r="J22" s="54">
        <v>20.06</v>
      </c>
      <c r="K22" s="53">
        <v>20</v>
      </c>
      <c r="L22" s="54">
        <v>77.51</v>
      </c>
      <c r="M22" s="62">
        <v>5</v>
      </c>
      <c r="N22" s="57">
        <v>21.32</v>
      </c>
      <c r="O22" s="67">
        <v>25</v>
      </c>
      <c r="P22" s="67">
        <v>25</v>
      </c>
      <c r="Q22" s="67">
        <v>25</v>
      </c>
      <c r="R22" s="67"/>
      <c r="S22" s="68">
        <f t="shared" si="0"/>
        <v>96.32</v>
      </c>
      <c r="T22" s="57">
        <f t="shared" si="1"/>
        <v>1</v>
      </c>
    </row>
    <row r="23" ht="15" spans="1:20">
      <c r="A23" s="52" t="s">
        <v>27</v>
      </c>
      <c r="B23" s="52" t="s">
        <v>28</v>
      </c>
      <c r="C23" s="61">
        <v>7.92</v>
      </c>
      <c r="D23" s="61">
        <v>6.07</v>
      </c>
      <c r="E23" s="61">
        <v>11.64</v>
      </c>
      <c r="F23" s="61">
        <v>6.41</v>
      </c>
      <c r="G23" s="61">
        <v>32.04</v>
      </c>
      <c r="H23" s="54">
        <v>10</v>
      </c>
      <c r="I23" s="54">
        <v>16.5</v>
      </c>
      <c r="J23" s="54">
        <v>17.86</v>
      </c>
      <c r="K23" s="53">
        <v>20</v>
      </c>
      <c r="L23" s="54">
        <v>54.36</v>
      </c>
      <c r="M23" s="62">
        <v>8</v>
      </c>
      <c r="N23" s="52">
        <v>1.14</v>
      </c>
      <c r="O23" s="63">
        <v>15</v>
      </c>
      <c r="P23" s="63">
        <v>5</v>
      </c>
      <c r="Q23" s="63">
        <v>25</v>
      </c>
      <c r="R23" s="63"/>
      <c r="S23" s="64">
        <f t="shared" si="0"/>
        <v>46.14</v>
      </c>
      <c r="T23" s="52">
        <f t="shared" si="1"/>
        <v>10</v>
      </c>
    </row>
    <row r="24" ht="15" spans="1:20">
      <c r="A24" s="52" t="s">
        <v>29</v>
      </c>
      <c r="B24" s="52" t="s">
        <v>30</v>
      </c>
      <c r="C24" s="61">
        <v>23.88</v>
      </c>
      <c r="D24" s="61">
        <v>12.37</v>
      </c>
      <c r="E24" s="61">
        <v>21.14</v>
      </c>
      <c r="F24" s="61">
        <v>30</v>
      </c>
      <c r="G24" s="61">
        <v>87.38</v>
      </c>
      <c r="H24" s="54">
        <v>4</v>
      </c>
      <c r="I24" s="54">
        <v>22.42</v>
      </c>
      <c r="J24" s="54">
        <v>18.06</v>
      </c>
      <c r="K24" s="53">
        <v>20</v>
      </c>
      <c r="L24" s="54">
        <v>60.48</v>
      </c>
      <c r="M24" s="62">
        <v>7</v>
      </c>
      <c r="N24" s="52">
        <v>19.05</v>
      </c>
      <c r="O24" s="63">
        <v>25</v>
      </c>
      <c r="P24" s="63">
        <v>25</v>
      </c>
      <c r="Q24" s="63">
        <v>25</v>
      </c>
      <c r="R24" s="63"/>
      <c r="S24" s="64">
        <f t="shared" si="0"/>
        <v>94.05</v>
      </c>
      <c r="T24" s="52">
        <f t="shared" si="1"/>
        <v>2</v>
      </c>
    </row>
    <row r="25" ht="15" spans="1:20">
      <c r="A25" s="52" t="s">
        <v>31</v>
      </c>
      <c r="B25" s="52" t="s">
        <v>32</v>
      </c>
      <c r="C25" s="61">
        <v>19.55</v>
      </c>
      <c r="D25" s="61">
        <v>19.76</v>
      </c>
      <c r="E25" s="61">
        <v>21.54</v>
      </c>
      <c r="F25" s="61">
        <v>14.97</v>
      </c>
      <c r="G25" s="61">
        <v>75.82</v>
      </c>
      <c r="H25" s="54">
        <v>7</v>
      </c>
      <c r="I25" s="54">
        <v>20.32</v>
      </c>
      <c r="J25" s="54">
        <v>13.68</v>
      </c>
      <c r="K25" s="53">
        <v>15.26</v>
      </c>
      <c r="L25" s="54">
        <v>49.26</v>
      </c>
      <c r="M25" s="62">
        <v>9</v>
      </c>
      <c r="N25" s="52">
        <v>17.34</v>
      </c>
      <c r="O25" s="63">
        <v>25</v>
      </c>
      <c r="P25" s="63">
        <v>0</v>
      </c>
      <c r="Q25" s="63">
        <v>25</v>
      </c>
      <c r="R25" s="63">
        <v>-1</v>
      </c>
      <c r="S25" s="64">
        <f t="shared" si="0"/>
        <v>66.34</v>
      </c>
      <c r="T25" s="52">
        <f t="shared" si="1"/>
        <v>6</v>
      </c>
    </row>
    <row r="26" ht="15" spans="1:20">
      <c r="A26" s="52" t="s">
        <v>33</v>
      </c>
      <c r="B26" s="52" t="s">
        <v>34</v>
      </c>
      <c r="C26" s="61">
        <v>22.03</v>
      </c>
      <c r="D26" s="61">
        <v>24.44</v>
      </c>
      <c r="E26" s="61">
        <v>30</v>
      </c>
      <c r="F26" s="61">
        <v>20.92</v>
      </c>
      <c r="G26" s="61">
        <v>97.39</v>
      </c>
      <c r="H26" s="54">
        <v>2</v>
      </c>
      <c r="I26" s="54">
        <v>20.41</v>
      </c>
      <c r="J26" s="54">
        <v>14.74</v>
      </c>
      <c r="K26" s="53">
        <v>0</v>
      </c>
      <c r="L26" s="54">
        <v>35.16</v>
      </c>
      <c r="M26" s="62">
        <v>10</v>
      </c>
      <c r="N26" s="52">
        <v>14.37</v>
      </c>
      <c r="O26" s="63">
        <v>25</v>
      </c>
      <c r="P26" s="63">
        <v>25</v>
      </c>
      <c r="Q26" s="63">
        <v>25</v>
      </c>
      <c r="R26" s="63">
        <v>-4</v>
      </c>
      <c r="S26" s="64">
        <f t="shared" si="0"/>
        <v>85.37</v>
      </c>
      <c r="T26" s="52">
        <f t="shared" si="1"/>
        <v>3</v>
      </c>
    </row>
    <row r="27" ht="15.6" spans="1:20">
      <c r="A27" s="52" t="s">
        <v>35</v>
      </c>
      <c r="B27" s="59" t="s">
        <v>36</v>
      </c>
      <c r="C27" s="61">
        <v>19.6</v>
      </c>
      <c r="D27" s="61">
        <v>13.76</v>
      </c>
      <c r="E27" s="61">
        <v>24.05</v>
      </c>
      <c r="F27" s="61">
        <v>22.18</v>
      </c>
      <c r="G27" s="61">
        <v>79.58</v>
      </c>
      <c r="H27" s="54"/>
      <c r="I27" s="54">
        <v>35.48</v>
      </c>
      <c r="J27" s="54">
        <v>22.05</v>
      </c>
      <c r="K27" s="53">
        <v>20</v>
      </c>
      <c r="L27" s="54"/>
      <c r="M27" s="62"/>
      <c r="N27" s="52">
        <v>11.9</v>
      </c>
      <c r="O27" s="63">
        <v>23.5</v>
      </c>
      <c r="P27" s="63">
        <v>25</v>
      </c>
      <c r="Q27" s="63">
        <v>25</v>
      </c>
      <c r="R27" s="63">
        <v>-3</v>
      </c>
      <c r="S27" s="64">
        <f t="shared" si="0"/>
        <v>82.4</v>
      </c>
      <c r="T27" s="69"/>
    </row>
  </sheetData>
  <mergeCells count="10">
    <mergeCell ref="C1:G1"/>
    <mergeCell ref="H1:L1"/>
    <mergeCell ref="M1:P1"/>
    <mergeCell ref="C15:H15"/>
    <mergeCell ref="I15:M15"/>
    <mergeCell ref="N15:T15"/>
    <mergeCell ref="A1:A2"/>
    <mergeCell ref="A15:A16"/>
    <mergeCell ref="B1:B2"/>
    <mergeCell ref="B15:B1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6"/>
  <sheetViews>
    <sheetView topLeftCell="A9" workbookViewId="0">
      <selection activeCell="I20" sqref="I20:N36"/>
    </sheetView>
  </sheetViews>
  <sheetFormatPr defaultColWidth="8.88888888888889" defaultRowHeight="14.4"/>
  <sheetData>
    <row r="1" ht="23.4" spans="1:22">
      <c r="A1" s="5"/>
      <c r="B1" s="6" t="s">
        <v>51</v>
      </c>
      <c r="C1" s="6"/>
      <c r="D1" s="6"/>
      <c r="E1" s="6"/>
      <c r="F1" s="6"/>
      <c r="G1" s="6"/>
      <c r="I1" s="7" t="s">
        <v>52</v>
      </c>
      <c r="J1" s="7"/>
      <c r="K1" s="7"/>
      <c r="L1" s="7"/>
      <c r="M1" s="7"/>
      <c r="N1" s="7"/>
      <c r="O1" s="7"/>
      <c r="Q1" s="7" t="s">
        <v>53</v>
      </c>
      <c r="R1" s="7"/>
      <c r="S1" s="7"/>
      <c r="T1" s="7"/>
      <c r="U1" s="7"/>
      <c r="V1" s="7"/>
    </row>
    <row r="2" ht="62.4" spans="1:22">
      <c r="A2" s="8" t="s">
        <v>54</v>
      </c>
      <c r="B2" s="8" t="s">
        <v>1</v>
      </c>
      <c r="C2" s="9" t="s">
        <v>55</v>
      </c>
      <c r="D2" s="9" t="s">
        <v>56</v>
      </c>
      <c r="E2" s="9" t="s">
        <v>57</v>
      </c>
      <c r="F2" s="8" t="s">
        <v>8</v>
      </c>
      <c r="G2" s="8" t="s">
        <v>9</v>
      </c>
      <c r="I2" s="10" t="s">
        <v>54</v>
      </c>
      <c r="J2" s="10" t="s">
        <v>1</v>
      </c>
      <c r="K2" s="9" t="s">
        <v>58</v>
      </c>
      <c r="L2" s="9" t="s">
        <v>59</v>
      </c>
      <c r="M2" s="9" t="s">
        <v>60</v>
      </c>
      <c r="N2" s="10" t="s">
        <v>8</v>
      </c>
      <c r="O2" s="10" t="s">
        <v>9</v>
      </c>
      <c r="Q2" s="11" t="s">
        <v>54</v>
      </c>
      <c r="R2" s="11" t="s">
        <v>1</v>
      </c>
      <c r="S2" s="9" t="s">
        <v>61</v>
      </c>
      <c r="T2" s="9" t="s">
        <v>62</v>
      </c>
      <c r="U2" s="9" t="s">
        <v>8</v>
      </c>
      <c r="V2" s="12" t="s">
        <v>9</v>
      </c>
    </row>
    <row r="3" ht="156" spans="1:22">
      <c r="A3" s="8"/>
      <c r="B3" s="8"/>
      <c r="C3" s="9" t="s">
        <v>63</v>
      </c>
      <c r="D3" s="9" t="s">
        <v>64</v>
      </c>
      <c r="E3" s="9" t="s">
        <v>63</v>
      </c>
      <c r="F3" s="8"/>
      <c r="G3" s="8"/>
      <c r="I3" s="10"/>
      <c r="J3" s="10"/>
      <c r="K3" s="10" t="s">
        <v>65</v>
      </c>
      <c r="L3" s="10" t="s">
        <v>65</v>
      </c>
      <c r="M3" s="10" t="s">
        <v>65</v>
      </c>
      <c r="N3" s="10"/>
      <c r="O3" s="10"/>
      <c r="Q3" s="11"/>
      <c r="R3" s="11"/>
      <c r="S3" s="10" t="s">
        <v>63</v>
      </c>
      <c r="T3" s="10" t="s">
        <v>63</v>
      </c>
      <c r="U3" s="9"/>
      <c r="V3" s="12"/>
    </row>
    <row r="4" ht="17.4" spans="1:22">
      <c r="A4" s="13">
        <v>1</v>
      </c>
      <c r="B4" s="13" t="s">
        <v>66</v>
      </c>
      <c r="C4" s="14">
        <v>41.5217939</v>
      </c>
      <c r="D4" s="13">
        <v>10</v>
      </c>
      <c r="E4" s="15">
        <v>48</v>
      </c>
      <c r="F4" s="16">
        <f t="shared" ref="F4:F17" si="0">SUM(C4:E4)</f>
        <v>99.5217939</v>
      </c>
      <c r="G4" s="13">
        <f t="shared" ref="G4:G17" si="1">RANK(F4,$F$4:$F$17)</f>
        <v>1</v>
      </c>
      <c r="I4" s="13">
        <v>1</v>
      </c>
      <c r="J4" s="17" t="s">
        <v>22</v>
      </c>
      <c r="K4" s="18">
        <v>60</v>
      </c>
      <c r="L4" s="19">
        <v>27.2727272727273</v>
      </c>
      <c r="M4" s="18">
        <v>24</v>
      </c>
      <c r="N4" s="18">
        <v>111.272727272727</v>
      </c>
      <c r="O4" s="13">
        <v>1</v>
      </c>
      <c r="Q4" s="9">
        <v>1</v>
      </c>
      <c r="R4" s="20" t="s">
        <v>28</v>
      </c>
      <c r="S4" s="21">
        <v>48</v>
      </c>
      <c r="T4" s="22">
        <v>72</v>
      </c>
      <c r="U4" s="23">
        <f t="shared" ref="U4:U18" si="2">SUM(S4:T4)</f>
        <v>120</v>
      </c>
      <c r="V4" s="24" t="e">
        <f t="shared" ref="V4:V18" si="3">RANK(U4,$E$4:$E$18)</f>
        <v>#N/A</v>
      </c>
    </row>
    <row r="5" ht="17.4" spans="1:22">
      <c r="A5" s="8">
        <v>2</v>
      </c>
      <c r="B5" s="8" t="s">
        <v>28</v>
      </c>
      <c r="C5" s="25">
        <v>60</v>
      </c>
      <c r="D5" s="8">
        <v>10</v>
      </c>
      <c r="E5" s="26">
        <v>0.48951049</v>
      </c>
      <c r="F5" s="27">
        <f t="shared" si="0"/>
        <v>70.48951049</v>
      </c>
      <c r="G5" s="8">
        <f t="shared" si="1"/>
        <v>2</v>
      </c>
      <c r="I5" s="8">
        <v>3</v>
      </c>
      <c r="J5" s="28" t="s">
        <v>34</v>
      </c>
      <c r="K5" s="29">
        <v>60</v>
      </c>
      <c r="L5" s="30">
        <v>0</v>
      </c>
      <c r="M5" s="31">
        <v>50</v>
      </c>
      <c r="N5" s="31">
        <v>110</v>
      </c>
      <c r="O5" s="8">
        <v>2</v>
      </c>
      <c r="Q5" s="9">
        <v>2</v>
      </c>
      <c r="R5" s="32" t="s">
        <v>22</v>
      </c>
      <c r="S5" s="33">
        <v>42.62</v>
      </c>
      <c r="T5" s="34">
        <v>72</v>
      </c>
      <c r="U5" s="35">
        <f t="shared" si="2"/>
        <v>114.62</v>
      </c>
      <c r="V5" s="36" t="e">
        <f t="shared" si="3"/>
        <v>#N/A</v>
      </c>
    </row>
    <row r="6" ht="17.4" spans="1:22">
      <c r="A6" s="8">
        <v>3</v>
      </c>
      <c r="B6" s="8" t="s">
        <v>22</v>
      </c>
      <c r="C6" s="25">
        <v>43.10462536</v>
      </c>
      <c r="D6" s="8">
        <v>10</v>
      </c>
      <c r="E6" s="26">
        <v>0</v>
      </c>
      <c r="F6" s="27">
        <f t="shared" si="0"/>
        <v>53.10462536</v>
      </c>
      <c r="G6" s="8">
        <f t="shared" si="1"/>
        <v>3</v>
      </c>
      <c r="I6" s="8">
        <v>2</v>
      </c>
      <c r="J6" s="28" t="s">
        <v>18</v>
      </c>
      <c r="K6" s="29">
        <v>60</v>
      </c>
      <c r="L6" s="30">
        <v>22.6490066225165</v>
      </c>
      <c r="M6" s="31">
        <v>24</v>
      </c>
      <c r="N6" s="31">
        <v>106.649006622517</v>
      </c>
      <c r="O6" s="8">
        <v>3</v>
      </c>
      <c r="Q6" s="9">
        <v>3</v>
      </c>
      <c r="R6" s="32" t="s">
        <v>67</v>
      </c>
      <c r="S6" s="33">
        <v>38.6</v>
      </c>
      <c r="T6" s="34">
        <v>72</v>
      </c>
      <c r="U6" s="35">
        <f t="shared" si="2"/>
        <v>110.6</v>
      </c>
      <c r="V6" s="36" t="e">
        <f t="shared" si="3"/>
        <v>#N/A</v>
      </c>
    </row>
    <row r="7" ht="17.4" spans="1:22">
      <c r="A7" s="8">
        <v>4</v>
      </c>
      <c r="B7" s="8" t="s">
        <v>34</v>
      </c>
      <c r="C7" s="25">
        <v>39.48412698</v>
      </c>
      <c r="D7" s="8">
        <v>10</v>
      </c>
      <c r="E7" s="26">
        <v>3.101604278</v>
      </c>
      <c r="F7" s="27">
        <f t="shared" si="0"/>
        <v>52.585731258</v>
      </c>
      <c r="G7" s="8">
        <f t="shared" si="1"/>
        <v>4</v>
      </c>
      <c r="I7" s="8">
        <v>4</v>
      </c>
      <c r="J7" s="28" t="s">
        <v>32</v>
      </c>
      <c r="K7" s="29">
        <v>56.4</v>
      </c>
      <c r="L7" s="30">
        <v>0</v>
      </c>
      <c r="M7" s="31">
        <v>50</v>
      </c>
      <c r="N7" s="31">
        <v>106.4</v>
      </c>
      <c r="O7" s="8">
        <v>4</v>
      </c>
      <c r="Q7" s="9">
        <v>4</v>
      </c>
      <c r="R7" s="32" t="s">
        <v>68</v>
      </c>
      <c r="S7" s="33">
        <v>35.75</v>
      </c>
      <c r="T7" s="34">
        <v>62.07</v>
      </c>
      <c r="U7" s="35">
        <f t="shared" si="2"/>
        <v>97.82</v>
      </c>
      <c r="V7" s="36" t="e">
        <f t="shared" si="3"/>
        <v>#N/A</v>
      </c>
    </row>
    <row r="8" ht="17.4" spans="1:22">
      <c r="A8" s="8">
        <v>5</v>
      </c>
      <c r="B8" s="8" t="s">
        <v>18</v>
      </c>
      <c r="C8" s="25">
        <v>36.02292769</v>
      </c>
      <c r="D8" s="8">
        <v>10</v>
      </c>
      <c r="E8" s="26">
        <v>0</v>
      </c>
      <c r="F8" s="27">
        <f t="shared" si="0"/>
        <v>46.02292769</v>
      </c>
      <c r="G8" s="8">
        <f t="shared" si="1"/>
        <v>5</v>
      </c>
      <c r="I8" s="8">
        <v>5</v>
      </c>
      <c r="J8" s="28" t="s">
        <v>69</v>
      </c>
      <c r="K8" s="29">
        <v>49.0555555555556</v>
      </c>
      <c r="L8" s="30">
        <v>22.2</v>
      </c>
      <c r="M8" s="31">
        <v>24</v>
      </c>
      <c r="N8" s="31">
        <v>95.2555555555556</v>
      </c>
      <c r="O8" s="8">
        <v>5</v>
      </c>
      <c r="Q8" s="9">
        <v>5</v>
      </c>
      <c r="R8" s="32" t="s">
        <v>34</v>
      </c>
      <c r="S8" s="33">
        <v>29.26</v>
      </c>
      <c r="T8" s="34">
        <v>67.1</v>
      </c>
      <c r="U8" s="35">
        <f t="shared" si="2"/>
        <v>96.36</v>
      </c>
      <c r="V8" s="36" t="e">
        <f t="shared" si="3"/>
        <v>#N/A</v>
      </c>
    </row>
    <row r="9" ht="17.4" spans="1:22">
      <c r="A9" s="8">
        <v>6</v>
      </c>
      <c r="B9" s="8" t="s">
        <v>69</v>
      </c>
      <c r="C9" s="25">
        <v>24.61904762</v>
      </c>
      <c r="D9" s="8">
        <v>10</v>
      </c>
      <c r="E9" s="26">
        <v>0</v>
      </c>
      <c r="F9" s="27">
        <f t="shared" si="0"/>
        <v>34.61904762</v>
      </c>
      <c r="G9" s="8">
        <f t="shared" si="1"/>
        <v>6</v>
      </c>
      <c r="I9" s="8">
        <v>6</v>
      </c>
      <c r="J9" s="28" t="s">
        <v>26</v>
      </c>
      <c r="K9" s="29">
        <v>40.75</v>
      </c>
      <c r="L9" s="30">
        <v>29.6969696969697</v>
      </c>
      <c r="M9" s="31">
        <v>24</v>
      </c>
      <c r="N9" s="31">
        <v>94.4469696969697</v>
      </c>
      <c r="O9" s="8">
        <v>6</v>
      </c>
      <c r="Q9" s="9">
        <v>6</v>
      </c>
      <c r="R9" s="32" t="s">
        <v>32</v>
      </c>
      <c r="S9" s="33">
        <v>32.37</v>
      </c>
      <c r="T9" s="34">
        <v>63.02</v>
      </c>
      <c r="U9" s="35">
        <f t="shared" si="2"/>
        <v>95.39</v>
      </c>
      <c r="V9" s="36" t="e">
        <f t="shared" si="3"/>
        <v>#N/A</v>
      </c>
    </row>
    <row r="10" ht="17.4" spans="1:22">
      <c r="A10" s="8">
        <v>7</v>
      </c>
      <c r="B10" s="8" t="s">
        <v>24</v>
      </c>
      <c r="C10" s="25">
        <v>33.00865801</v>
      </c>
      <c r="D10" s="8">
        <v>0</v>
      </c>
      <c r="E10" s="26">
        <v>0</v>
      </c>
      <c r="F10" s="27">
        <f t="shared" si="0"/>
        <v>33.00865801</v>
      </c>
      <c r="G10" s="8">
        <f t="shared" si="1"/>
        <v>7</v>
      </c>
      <c r="I10" s="8">
        <v>7</v>
      </c>
      <c r="J10" s="28" t="s">
        <v>16</v>
      </c>
      <c r="K10" s="29">
        <v>30.3333333333333</v>
      </c>
      <c r="L10" s="30">
        <v>27.7310924369748</v>
      </c>
      <c r="M10" s="31">
        <v>24</v>
      </c>
      <c r="N10" s="31">
        <v>82.0644257703082</v>
      </c>
      <c r="O10" s="8">
        <v>7</v>
      </c>
      <c r="Q10" s="9">
        <v>7</v>
      </c>
      <c r="R10" s="32" t="s">
        <v>70</v>
      </c>
      <c r="S10" s="33">
        <v>20.12</v>
      </c>
      <c r="T10" s="34">
        <v>72</v>
      </c>
      <c r="U10" s="35">
        <f t="shared" si="2"/>
        <v>92.12</v>
      </c>
      <c r="V10" s="36" t="e">
        <f t="shared" si="3"/>
        <v>#N/A</v>
      </c>
    </row>
    <row r="11" ht="17.4" spans="1:22">
      <c r="A11" s="8">
        <v>8</v>
      </c>
      <c r="B11" s="8" t="s">
        <v>67</v>
      </c>
      <c r="C11" s="25">
        <v>19.55675352</v>
      </c>
      <c r="D11" s="8">
        <v>10</v>
      </c>
      <c r="E11" s="26">
        <v>0</v>
      </c>
      <c r="F11" s="27">
        <f t="shared" si="0"/>
        <v>29.55675352</v>
      </c>
      <c r="G11" s="8">
        <f t="shared" si="1"/>
        <v>8</v>
      </c>
      <c r="I11" s="8">
        <v>8</v>
      </c>
      <c r="J11" s="28" t="s">
        <v>24</v>
      </c>
      <c r="K11" s="29">
        <v>41.1904761904762</v>
      </c>
      <c r="L11" s="30">
        <v>14.1984732824428</v>
      </c>
      <c r="M11" s="31">
        <v>24</v>
      </c>
      <c r="N11" s="31">
        <v>79.388949472919</v>
      </c>
      <c r="O11" s="8">
        <v>8</v>
      </c>
      <c r="Q11" s="9">
        <v>8</v>
      </c>
      <c r="R11" s="32" t="s">
        <v>20</v>
      </c>
      <c r="S11" s="33">
        <v>15.7</v>
      </c>
      <c r="T11" s="34">
        <v>72</v>
      </c>
      <c r="U11" s="35">
        <f t="shared" si="2"/>
        <v>87.7</v>
      </c>
      <c r="V11" s="36" t="e">
        <f t="shared" si="3"/>
        <v>#N/A</v>
      </c>
    </row>
    <row r="12" ht="17.4" spans="1:22">
      <c r="A12" s="8">
        <v>9</v>
      </c>
      <c r="B12" s="8" t="s">
        <v>26</v>
      </c>
      <c r="C12" s="25">
        <v>16.83609773</v>
      </c>
      <c r="D12" s="8">
        <v>10</v>
      </c>
      <c r="E12" s="26">
        <v>0</v>
      </c>
      <c r="F12" s="27">
        <f t="shared" si="0"/>
        <v>26.83609773</v>
      </c>
      <c r="G12" s="8">
        <f t="shared" si="1"/>
        <v>9</v>
      </c>
      <c r="I12" s="8">
        <v>9</v>
      </c>
      <c r="J12" s="28" t="s">
        <v>20</v>
      </c>
      <c r="K12" s="29">
        <v>45.8333333333333</v>
      </c>
      <c r="L12" s="30">
        <v>26.5979381443299</v>
      </c>
      <c r="M12" s="31">
        <v>1.11111111111111</v>
      </c>
      <c r="N12" s="31">
        <v>73.5423825887744</v>
      </c>
      <c r="O12" s="8">
        <v>9</v>
      </c>
      <c r="Q12" s="9">
        <v>9</v>
      </c>
      <c r="R12" s="32" t="s">
        <v>69</v>
      </c>
      <c r="S12" s="33">
        <v>20.12</v>
      </c>
      <c r="T12" s="34">
        <v>63.85</v>
      </c>
      <c r="U12" s="35">
        <f t="shared" si="2"/>
        <v>83.97</v>
      </c>
      <c r="V12" s="36" t="e">
        <f t="shared" si="3"/>
        <v>#N/A</v>
      </c>
    </row>
    <row r="13" ht="17.4" spans="1:22">
      <c r="A13" s="8">
        <v>10</v>
      </c>
      <c r="B13" s="8" t="s">
        <v>30</v>
      </c>
      <c r="C13" s="25">
        <v>11.11111111</v>
      </c>
      <c r="D13" s="8">
        <v>10</v>
      </c>
      <c r="E13" s="26">
        <v>0</v>
      </c>
      <c r="F13" s="27">
        <f t="shared" si="0"/>
        <v>21.11111111</v>
      </c>
      <c r="G13" s="8">
        <f t="shared" si="1"/>
        <v>10</v>
      </c>
      <c r="I13" s="8">
        <v>10</v>
      </c>
      <c r="J13" s="28" t="s">
        <v>67</v>
      </c>
      <c r="K13" s="29">
        <v>32.9629629629629</v>
      </c>
      <c r="L13" s="30">
        <v>16</v>
      </c>
      <c r="M13" s="31">
        <v>16.2962962962963</v>
      </c>
      <c r="N13" s="31">
        <v>65.2592592592593</v>
      </c>
      <c r="O13" s="8">
        <v>10</v>
      </c>
      <c r="Q13" s="9">
        <v>10</v>
      </c>
      <c r="R13" s="32" t="s">
        <v>26</v>
      </c>
      <c r="S13" s="33">
        <v>26.07</v>
      </c>
      <c r="T13" s="34">
        <v>56.59</v>
      </c>
      <c r="U13" s="35">
        <f t="shared" si="2"/>
        <v>82.66</v>
      </c>
      <c r="V13" s="36" t="e">
        <f t="shared" si="3"/>
        <v>#N/A</v>
      </c>
    </row>
    <row r="14" ht="17.4" spans="1:22">
      <c r="A14" s="8">
        <v>11</v>
      </c>
      <c r="B14" s="8" t="s">
        <v>16</v>
      </c>
      <c r="C14" s="25">
        <v>8.509700176</v>
      </c>
      <c r="D14" s="8">
        <v>10</v>
      </c>
      <c r="E14" s="26">
        <v>0</v>
      </c>
      <c r="F14" s="27">
        <f t="shared" si="0"/>
        <v>18.509700176</v>
      </c>
      <c r="G14" s="8">
        <f t="shared" si="1"/>
        <v>11</v>
      </c>
      <c r="I14" s="8">
        <v>11</v>
      </c>
      <c r="J14" s="28" t="s">
        <v>28</v>
      </c>
      <c r="K14" s="29">
        <v>25.625</v>
      </c>
      <c r="L14" s="30">
        <v>22.5974025974026</v>
      </c>
      <c r="M14" s="31">
        <v>6.5625</v>
      </c>
      <c r="N14" s="31">
        <v>54.7849025974026</v>
      </c>
      <c r="O14" s="8">
        <v>11</v>
      </c>
      <c r="Q14" s="9">
        <v>11</v>
      </c>
      <c r="R14" s="32" t="s">
        <v>24</v>
      </c>
      <c r="S14" s="33">
        <v>24.86</v>
      </c>
      <c r="T14" s="34">
        <v>34.64</v>
      </c>
      <c r="U14" s="35">
        <f t="shared" si="2"/>
        <v>59.5</v>
      </c>
      <c r="V14" s="36" t="e">
        <f t="shared" si="3"/>
        <v>#N/A</v>
      </c>
    </row>
    <row r="15" ht="17.4" spans="1:22">
      <c r="A15" s="8">
        <v>12</v>
      </c>
      <c r="B15" s="8" t="s">
        <v>20</v>
      </c>
      <c r="C15" s="25">
        <v>5.472883598</v>
      </c>
      <c r="D15" s="8">
        <v>10</v>
      </c>
      <c r="E15" s="26">
        <v>0</v>
      </c>
      <c r="F15" s="27">
        <f t="shared" si="0"/>
        <v>15.472883598</v>
      </c>
      <c r="G15" s="8">
        <f t="shared" si="1"/>
        <v>12</v>
      </c>
      <c r="I15" s="8">
        <v>12</v>
      </c>
      <c r="J15" s="28" t="s">
        <v>68</v>
      </c>
      <c r="K15" s="29">
        <v>30</v>
      </c>
      <c r="L15" s="30">
        <v>0</v>
      </c>
      <c r="M15" s="31">
        <v>16.6666666666667</v>
      </c>
      <c r="N15" s="31">
        <v>46.6666666666667</v>
      </c>
      <c r="O15" s="8">
        <v>12</v>
      </c>
      <c r="Q15" s="9">
        <v>12</v>
      </c>
      <c r="R15" s="32" t="s">
        <v>18</v>
      </c>
      <c r="S15" s="33">
        <v>16.73</v>
      </c>
      <c r="T15" s="34">
        <v>39.59</v>
      </c>
      <c r="U15" s="35">
        <f t="shared" si="2"/>
        <v>56.32</v>
      </c>
      <c r="V15" s="36" t="e">
        <f t="shared" si="3"/>
        <v>#N/A</v>
      </c>
    </row>
    <row r="16" ht="17.4" spans="1:22">
      <c r="A16" s="8">
        <v>13</v>
      </c>
      <c r="B16" s="8" t="s">
        <v>32</v>
      </c>
      <c r="C16" s="25">
        <v>3.927553928</v>
      </c>
      <c r="D16" s="8">
        <v>10</v>
      </c>
      <c r="E16" s="26">
        <v>0</v>
      </c>
      <c r="F16" s="27">
        <f t="shared" si="0"/>
        <v>13.927553928</v>
      </c>
      <c r="G16" s="8">
        <f t="shared" si="1"/>
        <v>13</v>
      </c>
      <c r="I16" s="8">
        <v>13</v>
      </c>
      <c r="J16" s="28" t="s">
        <v>66</v>
      </c>
      <c r="K16" s="29">
        <v>21.25</v>
      </c>
      <c r="L16" s="30">
        <v>0</v>
      </c>
      <c r="M16" s="31">
        <v>23.828125</v>
      </c>
      <c r="N16" s="31">
        <v>45.078125</v>
      </c>
      <c r="O16" s="8">
        <v>13</v>
      </c>
      <c r="Q16" s="9">
        <v>13</v>
      </c>
      <c r="R16" s="32" t="s">
        <v>30</v>
      </c>
      <c r="S16" s="33">
        <v>7.14</v>
      </c>
      <c r="T16" s="34">
        <v>16.11</v>
      </c>
      <c r="U16" s="35">
        <f t="shared" si="2"/>
        <v>23.25</v>
      </c>
      <c r="V16" s="36" t="e">
        <f t="shared" si="3"/>
        <v>#N/A</v>
      </c>
    </row>
    <row r="17" ht="17.4" spans="1:22">
      <c r="A17" s="8">
        <v>14</v>
      </c>
      <c r="B17" s="8" t="s">
        <v>68</v>
      </c>
      <c r="C17" s="25">
        <v>3.69047619</v>
      </c>
      <c r="D17" s="8">
        <v>0</v>
      </c>
      <c r="E17" s="26">
        <v>0</v>
      </c>
      <c r="F17" s="27">
        <f t="shared" si="0"/>
        <v>3.69047619</v>
      </c>
      <c r="G17" s="8">
        <f t="shared" si="1"/>
        <v>14</v>
      </c>
      <c r="I17" s="8">
        <v>14</v>
      </c>
      <c r="J17" s="28" t="s">
        <v>30</v>
      </c>
      <c r="K17" s="29">
        <v>13.5714285714286</v>
      </c>
      <c r="L17" s="30">
        <v>21.1764705882353</v>
      </c>
      <c r="M17" s="31">
        <v>0</v>
      </c>
      <c r="N17" s="31">
        <v>34.7478991596638</v>
      </c>
      <c r="O17" s="8">
        <v>14</v>
      </c>
      <c r="Q17" s="9">
        <v>14</v>
      </c>
      <c r="R17" s="37" t="s">
        <v>16</v>
      </c>
      <c r="S17" s="33">
        <v>3.47</v>
      </c>
      <c r="T17" s="33">
        <v>9.62</v>
      </c>
      <c r="U17" s="35">
        <f t="shared" si="2"/>
        <v>13.09</v>
      </c>
      <c r="V17" s="36" t="e">
        <f t="shared" si="3"/>
        <v>#N/A</v>
      </c>
    </row>
    <row r="18" ht="15.6" spans="1:22">
      <c r="I18" s="8">
        <v>15</v>
      </c>
      <c r="J18" s="28" t="s">
        <v>71</v>
      </c>
      <c r="K18" s="38" t="s">
        <v>72</v>
      </c>
      <c r="L18" s="29" t="s">
        <v>72</v>
      </c>
      <c r="M18" s="39" t="s">
        <v>72</v>
      </c>
      <c r="N18" s="31" t="s">
        <v>72</v>
      </c>
      <c r="O18" s="8"/>
      <c r="Q18" s="9">
        <v>15</v>
      </c>
      <c r="R18" s="37" t="s">
        <v>66</v>
      </c>
      <c r="S18" s="33">
        <v>0.11</v>
      </c>
      <c r="T18" s="33">
        <v>9.62</v>
      </c>
      <c r="U18" s="35">
        <f t="shared" si="2"/>
        <v>9.73</v>
      </c>
      <c r="V18" s="36" t="e">
        <f t="shared" si="3"/>
        <v>#N/A</v>
      </c>
    </row>
    <row r="19" ht="15.6" spans="1:22">
      <c r="I19" s="40" t="s">
        <v>73</v>
      </c>
      <c r="J19" s="40"/>
      <c r="K19" s="40"/>
      <c r="L19" s="40"/>
      <c r="M19" s="40"/>
      <c r="N19" s="40"/>
      <c r="O19" s="40"/>
      <c r="Q19" s="41" t="s">
        <v>74</v>
      </c>
      <c r="R19" s="41"/>
      <c r="S19" s="41"/>
      <c r="T19" s="41"/>
      <c r="U19" s="41"/>
      <c r="V19" s="41"/>
    </row>
    <row r="20" ht="23.4" spans="1:22">
      <c r="A20" s="6" t="s">
        <v>75</v>
      </c>
      <c r="B20" s="6"/>
      <c r="C20" s="6"/>
      <c r="D20" s="6"/>
      <c r="E20" s="6"/>
      <c r="F20" s="6"/>
      <c r="G20" s="6"/>
      <c r="I20" s="7" t="s">
        <v>76</v>
      </c>
      <c r="J20" s="7"/>
      <c r="K20" s="7"/>
      <c r="L20" s="7"/>
      <c r="M20" s="42"/>
      <c r="N20" s="7"/>
    </row>
    <row r="21" ht="78" spans="1:22">
      <c r="A21" s="37" t="s">
        <v>54</v>
      </c>
      <c r="B21" s="37" t="s">
        <v>1</v>
      </c>
      <c r="C21" s="37" t="s">
        <v>77</v>
      </c>
      <c r="D21" s="37" t="s">
        <v>78</v>
      </c>
      <c r="E21" s="37" t="s">
        <v>79</v>
      </c>
      <c r="F21" s="43" t="s">
        <v>8</v>
      </c>
      <c r="G21" s="43" t="s">
        <v>9</v>
      </c>
      <c r="I21" s="8" t="s">
        <v>54</v>
      </c>
      <c r="J21" s="8" t="s">
        <v>1</v>
      </c>
      <c r="K21" s="9" t="s">
        <v>80</v>
      </c>
      <c r="L21" s="9" t="s">
        <v>81</v>
      </c>
      <c r="M21" s="44" t="s">
        <v>8</v>
      </c>
      <c r="N21" s="45" t="s">
        <v>9</v>
      </c>
    </row>
    <row r="22" ht="62.4" spans="1:22">
      <c r="A22" s="37"/>
      <c r="B22" s="37"/>
      <c r="C22" s="37" t="s">
        <v>82</v>
      </c>
      <c r="D22" s="37" t="s">
        <v>82</v>
      </c>
      <c r="E22" s="37" t="s">
        <v>82</v>
      </c>
      <c r="F22" s="43"/>
      <c r="G22" s="43"/>
      <c r="I22" s="8"/>
      <c r="J22" s="8"/>
      <c r="K22" s="9" t="s">
        <v>83</v>
      </c>
      <c r="L22" s="9" t="s">
        <v>83</v>
      </c>
      <c r="M22" s="44"/>
      <c r="N22" s="45"/>
    </row>
    <row r="23" ht="15.6" spans="1:22">
      <c r="A23" s="43">
        <v>1</v>
      </c>
      <c r="B23" s="43" t="s">
        <v>34</v>
      </c>
      <c r="C23" s="46">
        <v>60</v>
      </c>
      <c r="D23" s="46">
        <v>36</v>
      </c>
      <c r="E23" s="46">
        <v>24</v>
      </c>
      <c r="F23" s="46">
        <v>120</v>
      </c>
      <c r="G23" s="43">
        <v>1</v>
      </c>
      <c r="I23" s="9">
        <v>1</v>
      </c>
      <c r="J23" s="13" t="s">
        <v>69</v>
      </c>
      <c r="K23" s="47">
        <v>24.4846037483154</v>
      </c>
      <c r="L23" s="47">
        <v>45.915</v>
      </c>
      <c r="M23" s="47">
        <v>70.3996037483153</v>
      </c>
      <c r="N23" s="48">
        <v>1</v>
      </c>
    </row>
    <row r="24" ht="15.6" spans="1:22">
      <c r="A24" s="43">
        <v>2</v>
      </c>
      <c r="B24" s="43" t="s">
        <v>22</v>
      </c>
      <c r="C24" s="46">
        <v>60</v>
      </c>
      <c r="D24" s="46">
        <v>36</v>
      </c>
      <c r="E24" s="46">
        <v>24</v>
      </c>
      <c r="F24" s="46">
        <v>120</v>
      </c>
      <c r="G24" s="43">
        <v>1</v>
      </c>
      <c r="I24" s="8">
        <v>2</v>
      </c>
      <c r="J24" s="8" t="s">
        <v>34</v>
      </c>
      <c r="K24" s="44" t="s">
        <v>72</v>
      </c>
      <c r="L24" s="44">
        <v>64.12</v>
      </c>
      <c r="M24" s="44">
        <v>64.12</v>
      </c>
      <c r="N24" s="45">
        <v>2</v>
      </c>
    </row>
    <row r="25" ht="15.6" spans="1:22">
      <c r="A25" s="43">
        <v>3</v>
      </c>
      <c r="B25" s="43" t="s">
        <v>66</v>
      </c>
      <c r="C25" s="46">
        <v>54.821092978761</v>
      </c>
      <c r="D25" s="46">
        <v>36</v>
      </c>
      <c r="E25" s="46">
        <v>24</v>
      </c>
      <c r="F25" s="46">
        <v>114.821092978761</v>
      </c>
      <c r="G25" s="43">
        <v>3</v>
      </c>
      <c r="I25" s="9">
        <v>3</v>
      </c>
      <c r="J25" s="8" t="s">
        <v>18</v>
      </c>
      <c r="K25" s="44">
        <v>18.6992352004521</v>
      </c>
      <c r="L25" s="44">
        <v>36.77</v>
      </c>
      <c r="M25" s="44">
        <v>55.4692352004521</v>
      </c>
      <c r="N25" s="45">
        <v>3</v>
      </c>
    </row>
    <row r="26" ht="15.6" spans="1:22">
      <c r="A26" s="43">
        <v>4</v>
      </c>
      <c r="B26" s="43" t="s">
        <v>69</v>
      </c>
      <c r="C26" s="46">
        <v>50.4894644669149</v>
      </c>
      <c r="D26" s="46">
        <v>30.0130434782609</v>
      </c>
      <c r="E26" s="46">
        <v>24</v>
      </c>
      <c r="F26" s="46">
        <v>104.502507945176</v>
      </c>
      <c r="G26" s="43">
        <v>4</v>
      </c>
      <c r="I26" s="8">
        <v>4</v>
      </c>
      <c r="J26" s="8" t="s">
        <v>32</v>
      </c>
      <c r="K26" s="44" t="s">
        <v>72</v>
      </c>
      <c r="L26" s="44">
        <v>55.24</v>
      </c>
      <c r="M26" s="44">
        <v>55.24</v>
      </c>
      <c r="N26" s="45">
        <v>4</v>
      </c>
    </row>
    <row r="27" ht="15.6" spans="1:22">
      <c r="A27" s="43">
        <v>5</v>
      </c>
      <c r="B27" s="43" t="s">
        <v>67</v>
      </c>
      <c r="C27" s="46">
        <v>56.5880544535745</v>
      </c>
      <c r="D27" s="46">
        <v>36</v>
      </c>
      <c r="E27" s="46">
        <v>0.273403267293315</v>
      </c>
      <c r="F27" s="46">
        <v>92.8614577208678</v>
      </c>
      <c r="G27" s="43">
        <v>5</v>
      </c>
      <c r="I27" s="9">
        <v>5</v>
      </c>
      <c r="J27" s="8" t="s">
        <v>28</v>
      </c>
      <c r="K27" s="44">
        <v>28.2125119568346</v>
      </c>
      <c r="L27" s="44">
        <v>19.46</v>
      </c>
      <c r="M27" s="44">
        <v>47.6725119568347</v>
      </c>
      <c r="N27" s="45">
        <v>5</v>
      </c>
    </row>
    <row r="28" ht="15.6" spans="1:22">
      <c r="A28" s="43">
        <v>6</v>
      </c>
      <c r="B28" s="43" t="s">
        <v>16</v>
      </c>
      <c r="C28" s="46">
        <v>37.9502523880122</v>
      </c>
      <c r="D28" s="46">
        <v>27.587578909574</v>
      </c>
      <c r="E28" s="46">
        <v>24</v>
      </c>
      <c r="F28" s="46">
        <v>89.5378312975862</v>
      </c>
      <c r="G28" s="43">
        <v>6</v>
      </c>
      <c r="I28" s="8">
        <v>6</v>
      </c>
      <c r="J28" s="8" t="s">
        <v>71</v>
      </c>
      <c r="K28" s="44" t="s">
        <v>72</v>
      </c>
      <c r="L28" s="44">
        <v>45.915</v>
      </c>
      <c r="M28" s="44">
        <v>45.915</v>
      </c>
      <c r="N28" s="45">
        <v>6</v>
      </c>
    </row>
    <row r="29" ht="15.6" spans="1:22">
      <c r="A29" s="43">
        <v>7</v>
      </c>
      <c r="B29" s="43" t="s">
        <v>28</v>
      </c>
      <c r="C29" s="46">
        <v>34.0057176753877</v>
      </c>
      <c r="D29" s="46">
        <v>18.1489241459617</v>
      </c>
      <c r="E29" s="46">
        <v>9.06760614881031</v>
      </c>
      <c r="F29" s="46">
        <v>61.2222479701596</v>
      </c>
      <c r="G29" s="43">
        <v>7</v>
      </c>
      <c r="I29" s="9">
        <v>7</v>
      </c>
      <c r="J29" s="8" t="s">
        <v>67</v>
      </c>
      <c r="K29" s="44">
        <v>45.3417684444445</v>
      </c>
      <c r="L29" s="44" t="s">
        <v>72</v>
      </c>
      <c r="M29" s="44">
        <v>45.3417684444445</v>
      </c>
      <c r="N29" s="45">
        <v>7</v>
      </c>
    </row>
    <row r="30" ht="15.6" spans="1:22">
      <c r="A30" s="43">
        <v>8</v>
      </c>
      <c r="B30" s="43" t="s">
        <v>68</v>
      </c>
      <c r="C30" s="46">
        <v>23.5829347352244</v>
      </c>
      <c r="D30" s="46">
        <v>36</v>
      </c>
      <c r="E30" s="46">
        <v>0</v>
      </c>
      <c r="F30" s="46">
        <v>59.5829347352244</v>
      </c>
      <c r="G30" s="43">
        <v>8</v>
      </c>
      <c r="I30" s="8">
        <v>8</v>
      </c>
      <c r="J30" s="8" t="s">
        <v>26</v>
      </c>
      <c r="K30" s="44">
        <v>9.62440628425285</v>
      </c>
      <c r="L30" s="44">
        <v>34.84</v>
      </c>
      <c r="M30" s="44">
        <v>44.4644062842529</v>
      </c>
      <c r="N30" s="45">
        <v>8</v>
      </c>
    </row>
    <row r="31" ht="15.6" spans="1:22">
      <c r="A31" s="43">
        <v>9</v>
      </c>
      <c r="B31" s="43" t="s">
        <v>26</v>
      </c>
      <c r="C31" s="46">
        <v>60</v>
      </c>
      <c r="D31" s="46">
        <v>-30.4419088491717</v>
      </c>
      <c r="E31" s="46">
        <v>24</v>
      </c>
      <c r="F31" s="46">
        <v>53.5580911508283</v>
      </c>
      <c r="G31" s="43">
        <v>9</v>
      </c>
      <c r="I31" s="9">
        <v>9</v>
      </c>
      <c r="J31" s="8" t="s">
        <v>22</v>
      </c>
      <c r="K31" s="44">
        <v>7.80761109645275</v>
      </c>
      <c r="L31" s="44">
        <v>35.22</v>
      </c>
      <c r="M31" s="44">
        <v>43.0276110964528</v>
      </c>
      <c r="N31" s="45">
        <v>9</v>
      </c>
    </row>
    <row r="32" ht="15.6" spans="1:22">
      <c r="A32" s="43">
        <v>10</v>
      </c>
      <c r="B32" s="43" t="s">
        <v>30</v>
      </c>
      <c r="C32" s="46">
        <v>23.3255751323561</v>
      </c>
      <c r="D32" s="46">
        <v>4.65456919327368</v>
      </c>
      <c r="E32" s="46">
        <v>24</v>
      </c>
      <c r="F32" s="46">
        <v>51.9801443256298</v>
      </c>
      <c r="G32" s="43">
        <v>10</v>
      </c>
      <c r="I32" s="8">
        <v>10</v>
      </c>
      <c r="J32" s="8" t="s">
        <v>20</v>
      </c>
      <c r="K32" s="44">
        <v>15.03933747412</v>
      </c>
      <c r="L32" s="44">
        <v>24.76</v>
      </c>
      <c r="M32" s="44">
        <v>39.7993374741201</v>
      </c>
      <c r="N32" s="45">
        <v>10</v>
      </c>
    </row>
    <row r="33" ht="15.6" spans="1:14">
      <c r="A33" s="43">
        <v>11</v>
      </c>
      <c r="B33" s="43" t="s">
        <v>24</v>
      </c>
      <c r="C33" s="46">
        <v>27.9970604394149</v>
      </c>
      <c r="D33" s="46">
        <v>22.663595617219</v>
      </c>
      <c r="E33" s="46">
        <v>0.145449256390675</v>
      </c>
      <c r="F33" s="46">
        <v>50.8061053130246</v>
      </c>
      <c r="G33" s="43">
        <v>11</v>
      </c>
      <c r="I33" s="9">
        <v>11</v>
      </c>
      <c r="J33" s="9" t="s">
        <v>24</v>
      </c>
      <c r="K33" s="44">
        <v>16.4927884615384</v>
      </c>
      <c r="L33" s="44">
        <v>23.16</v>
      </c>
      <c r="M33" s="44">
        <v>39.6527884615384</v>
      </c>
      <c r="N33" s="45">
        <v>11</v>
      </c>
    </row>
    <row r="34" ht="15.6" spans="1:14">
      <c r="A34" s="43">
        <v>12</v>
      </c>
      <c r="B34" s="43" t="s">
        <v>32</v>
      </c>
      <c r="C34" s="46">
        <v>27.0011457364053</v>
      </c>
      <c r="D34" s="46">
        <v>21.0193429048997</v>
      </c>
      <c r="E34" s="46">
        <v>2.29514258573313</v>
      </c>
      <c r="F34" s="46">
        <v>50.3156312270381</v>
      </c>
      <c r="G34" s="43">
        <v>12</v>
      </c>
      <c r="I34" s="8">
        <v>12</v>
      </c>
      <c r="J34" s="8" t="s">
        <v>16</v>
      </c>
      <c r="K34" s="44">
        <v>11.9605944104602</v>
      </c>
      <c r="L34" s="44">
        <v>25.09</v>
      </c>
      <c r="M34" s="44">
        <v>37.0505944104602</v>
      </c>
      <c r="N34" s="45">
        <v>12</v>
      </c>
    </row>
    <row r="35" ht="15.6" spans="1:14">
      <c r="A35" s="43">
        <v>13</v>
      </c>
      <c r="B35" s="43" t="s">
        <v>20</v>
      </c>
      <c r="C35" s="46">
        <v>25.3410734034441</v>
      </c>
      <c r="D35" s="46">
        <v>20.6478963229359</v>
      </c>
      <c r="E35" s="46">
        <v>0</v>
      </c>
      <c r="F35" s="46">
        <v>45.9889697263801</v>
      </c>
      <c r="G35" s="43">
        <v>13</v>
      </c>
      <c r="I35" s="9">
        <v>13</v>
      </c>
      <c r="J35" s="8" t="s">
        <v>30</v>
      </c>
      <c r="K35" s="44">
        <v>5.69642857142855</v>
      </c>
      <c r="L35" s="44">
        <v>19.73</v>
      </c>
      <c r="M35" s="44">
        <v>25.4264285714286</v>
      </c>
      <c r="N35" s="45">
        <v>13</v>
      </c>
    </row>
    <row r="36" ht="15.6" spans="1:14">
      <c r="A36" s="43">
        <v>14</v>
      </c>
      <c r="B36" s="43" t="s">
        <v>18</v>
      </c>
      <c r="C36" s="46">
        <v>11.832366285254</v>
      </c>
      <c r="D36" s="46">
        <v>7.45709372349046</v>
      </c>
      <c r="E36" s="46">
        <v>1.66401579050834</v>
      </c>
      <c r="F36" s="46">
        <v>20.9534757992528</v>
      </c>
      <c r="G36" s="43">
        <v>14</v>
      </c>
      <c r="I36" s="49" t="s">
        <v>84</v>
      </c>
      <c r="J36" s="49"/>
      <c r="K36" s="49"/>
      <c r="L36" s="49"/>
      <c r="M36" s="49"/>
      <c r="N36" s="49"/>
    </row>
  </sheetData>
  <mergeCells count="28">
    <mergeCell ref="B1:G1"/>
    <mergeCell ref="I1:O1"/>
    <mergeCell ref="Q1:V1"/>
    <mergeCell ref="I19:O19"/>
    <mergeCell ref="Q19:V19"/>
    <mergeCell ref="A20:G20"/>
    <mergeCell ref="I20:N20"/>
    <mergeCell ref="I36:N36"/>
    <mergeCell ref="A2:A3"/>
    <mergeCell ref="A21:A22"/>
    <mergeCell ref="B2:B3"/>
    <mergeCell ref="B21:B22"/>
    <mergeCell ref="F2:F3"/>
    <mergeCell ref="F21:F22"/>
    <mergeCell ref="G2:G3"/>
    <mergeCell ref="G21:G22"/>
    <mergeCell ref="I2:I3"/>
    <mergeCell ref="I21:I22"/>
    <mergeCell ref="J2:J3"/>
    <mergeCell ref="J21:J22"/>
    <mergeCell ref="M21:M22"/>
    <mergeCell ref="N2:N3"/>
    <mergeCell ref="N21:N22"/>
    <mergeCell ref="O2:O3"/>
    <mergeCell ref="Q2:Q3"/>
    <mergeCell ref="R2:R3"/>
    <mergeCell ref="U2:U3"/>
    <mergeCell ref="V2:V3"/>
  </mergeCells>
  <conditionalFormatting sqref="O4:O18">
    <cfRule type="top10" dxfId="0" priority="2" rank="3"/>
    <cfRule type="top10" dxfId="1" priority="1" bottom="1" rank="3"/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tabSelected="1" workbookViewId="0">
      <selection activeCell="I1" sqref="I1:K12"/>
    </sheetView>
  </sheetViews>
  <sheetFormatPr defaultColWidth="8.88888888888889" defaultRowHeight="14.4"/>
  <sheetData>
    <row r="1" ht="15.6" spans="1:11">
      <c r="A1" s="1" t="s">
        <v>85</v>
      </c>
      <c r="B1" s="1" t="s">
        <v>86</v>
      </c>
      <c r="C1" s="1" t="s">
        <v>9</v>
      </c>
      <c r="E1" s="1" t="s">
        <v>85</v>
      </c>
      <c r="F1" s="1" t="s">
        <v>87</v>
      </c>
      <c r="G1" s="1" t="s">
        <v>9</v>
      </c>
      <c r="I1" s="1" t="s">
        <v>85</v>
      </c>
      <c r="J1" s="1" t="s">
        <v>88</v>
      </c>
      <c r="K1" s="1" t="s">
        <v>9</v>
      </c>
    </row>
    <row r="2" ht="15.6" spans="1:11">
      <c r="A2" s="2" t="s">
        <v>20</v>
      </c>
      <c r="B2" s="3">
        <v>96.58</v>
      </c>
      <c r="C2" s="2">
        <f t="shared" ref="C2:C12" si="0">RANK(B2,B:B,0)</f>
        <v>1</v>
      </c>
      <c r="E2" s="2" t="s">
        <v>18</v>
      </c>
      <c r="F2" s="3">
        <v>100</v>
      </c>
      <c r="G2" s="2">
        <f t="shared" ref="G2:G10" si="1">RANK(F2,F:F,0)</f>
        <v>1</v>
      </c>
      <c r="I2" s="2" t="s">
        <v>20</v>
      </c>
      <c r="J2" s="3">
        <v>100</v>
      </c>
      <c r="K2" s="2">
        <f t="shared" ref="K2:K12" si="2">RANK(J2,J:J,0)</f>
        <v>1</v>
      </c>
    </row>
    <row r="3" ht="15.6" spans="1:11">
      <c r="A3" s="1" t="s">
        <v>89</v>
      </c>
      <c r="B3" s="1">
        <v>95.35</v>
      </c>
      <c r="C3" s="1">
        <f t="shared" si="0"/>
        <v>2</v>
      </c>
      <c r="E3" s="1" t="s">
        <v>90</v>
      </c>
      <c r="F3" s="1">
        <v>99.5</v>
      </c>
      <c r="G3" s="1">
        <v>2</v>
      </c>
      <c r="I3" s="1" t="s">
        <v>22</v>
      </c>
      <c r="J3" s="4">
        <v>98.64</v>
      </c>
      <c r="K3" s="1">
        <f t="shared" si="2"/>
        <v>2</v>
      </c>
    </row>
    <row r="4" ht="15.6" spans="1:11">
      <c r="A4" s="1" t="s">
        <v>91</v>
      </c>
      <c r="B4" s="4">
        <v>89.82</v>
      </c>
      <c r="C4" s="1">
        <f t="shared" si="0"/>
        <v>3</v>
      </c>
      <c r="E4" s="1" t="s">
        <v>92</v>
      </c>
      <c r="F4" s="1">
        <v>99</v>
      </c>
      <c r="G4" s="1">
        <v>3</v>
      </c>
      <c r="I4" s="1" t="s">
        <v>93</v>
      </c>
      <c r="J4" s="4">
        <v>98.04</v>
      </c>
      <c r="K4" s="1">
        <f t="shared" si="2"/>
        <v>3</v>
      </c>
    </row>
    <row r="5" ht="15.6" spans="1:11">
      <c r="A5" s="1" t="s">
        <v>18</v>
      </c>
      <c r="B5" s="4">
        <v>86.52</v>
      </c>
      <c r="C5" s="1">
        <f t="shared" si="0"/>
        <v>4</v>
      </c>
      <c r="E5" s="1" t="s">
        <v>94</v>
      </c>
      <c r="F5" s="4">
        <v>99</v>
      </c>
      <c r="G5" s="1">
        <f t="shared" si="1"/>
        <v>3</v>
      </c>
      <c r="I5" s="1" t="s">
        <v>94</v>
      </c>
      <c r="J5" s="4">
        <v>96.44</v>
      </c>
      <c r="K5" s="1">
        <f t="shared" si="2"/>
        <v>4</v>
      </c>
    </row>
    <row r="6" ht="15.6" spans="1:11">
      <c r="A6" s="1" t="s">
        <v>95</v>
      </c>
      <c r="B6" s="4">
        <v>85.81</v>
      </c>
      <c r="C6" s="1">
        <f t="shared" si="0"/>
        <v>5</v>
      </c>
      <c r="E6" s="1" t="s">
        <v>91</v>
      </c>
      <c r="F6" s="4">
        <v>98</v>
      </c>
      <c r="G6" s="1">
        <f t="shared" si="1"/>
        <v>5</v>
      </c>
      <c r="I6" s="1" t="s">
        <v>91</v>
      </c>
      <c r="J6" s="4">
        <v>95.77</v>
      </c>
      <c r="K6" s="1">
        <f t="shared" si="2"/>
        <v>5</v>
      </c>
    </row>
    <row r="7" ht="15.6" spans="1:11">
      <c r="A7" s="1" t="s">
        <v>22</v>
      </c>
      <c r="B7" s="4">
        <v>83.5</v>
      </c>
      <c r="C7" s="1">
        <f t="shared" si="0"/>
        <v>6</v>
      </c>
      <c r="E7" s="1" t="s">
        <v>22</v>
      </c>
      <c r="F7" s="4">
        <v>97</v>
      </c>
      <c r="G7" s="1">
        <f t="shared" si="1"/>
        <v>6</v>
      </c>
      <c r="I7" s="1" t="s">
        <v>96</v>
      </c>
      <c r="J7" s="1">
        <v>95.47</v>
      </c>
      <c r="K7" s="1">
        <f t="shared" si="2"/>
        <v>6</v>
      </c>
    </row>
    <row r="8" ht="15.6" spans="1:11">
      <c r="A8" s="1" t="s">
        <v>94</v>
      </c>
      <c r="B8" s="4">
        <v>79.11</v>
      </c>
      <c r="C8" s="1">
        <f t="shared" si="0"/>
        <v>7</v>
      </c>
      <c r="E8" s="1" t="s">
        <v>20</v>
      </c>
      <c r="F8" s="4">
        <v>97</v>
      </c>
      <c r="G8" s="1">
        <f t="shared" si="1"/>
        <v>6</v>
      </c>
      <c r="I8" s="1" t="s">
        <v>18</v>
      </c>
      <c r="J8" s="4">
        <v>94.55</v>
      </c>
      <c r="K8" s="1">
        <f t="shared" si="2"/>
        <v>7</v>
      </c>
    </row>
    <row r="9" ht="15.6" spans="1:11">
      <c r="A9" s="1" t="s">
        <v>93</v>
      </c>
      <c r="B9" s="4">
        <v>67.928965517</v>
      </c>
      <c r="C9" s="1">
        <f t="shared" si="0"/>
        <v>8</v>
      </c>
      <c r="E9" s="1" t="s">
        <v>97</v>
      </c>
      <c r="F9" s="1">
        <v>94.12</v>
      </c>
      <c r="G9" s="1">
        <f t="shared" si="1"/>
        <v>8</v>
      </c>
      <c r="I9" s="1" t="s">
        <v>95</v>
      </c>
      <c r="J9" s="4">
        <v>82.39</v>
      </c>
      <c r="K9" s="1">
        <f t="shared" si="2"/>
        <v>8</v>
      </c>
    </row>
    <row r="10" ht="15.6" spans="1:11">
      <c r="A10" s="1" t="s">
        <v>98</v>
      </c>
      <c r="B10" s="4">
        <v>62.2</v>
      </c>
      <c r="C10" s="1">
        <f t="shared" si="0"/>
        <v>9</v>
      </c>
      <c r="E10" s="1" t="s">
        <v>99</v>
      </c>
      <c r="F10" s="4">
        <v>72</v>
      </c>
      <c r="G10" s="1">
        <f t="shared" si="1"/>
        <v>9</v>
      </c>
      <c r="I10" s="1" t="s">
        <v>99</v>
      </c>
      <c r="J10" s="4">
        <v>71.68</v>
      </c>
      <c r="K10" s="1">
        <f t="shared" si="2"/>
        <v>9</v>
      </c>
    </row>
    <row r="11" ht="15.6" spans="1:11">
      <c r="A11" s="1" t="s">
        <v>100</v>
      </c>
      <c r="B11" s="4">
        <v>53.2</v>
      </c>
      <c r="C11" s="1">
        <f t="shared" si="0"/>
        <v>10</v>
      </c>
      <c r="I11" s="1" t="s">
        <v>98</v>
      </c>
      <c r="J11" s="4">
        <v>67.61</v>
      </c>
      <c r="K11" s="1">
        <f t="shared" si="2"/>
        <v>10</v>
      </c>
    </row>
    <row r="12" ht="15.6" spans="1:11">
      <c r="A12" s="1" t="s">
        <v>99</v>
      </c>
      <c r="B12" s="4">
        <v>51.09</v>
      </c>
      <c r="C12" s="1">
        <f t="shared" si="0"/>
        <v>11</v>
      </c>
      <c r="I12" s="1" t="s">
        <v>100</v>
      </c>
      <c r="J12" s="4">
        <v>61.66</v>
      </c>
      <c r="K12" s="1">
        <f t="shared" si="2"/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河南省分公司</Company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市场线</vt:lpstr>
      <vt:lpstr>政企线</vt:lpstr>
      <vt:lpstr>网络线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2026-07-25T07:11:43Z</dcterms:created>
  <dcterms:modified xsi:type="dcterms:W3CDTF">2026-07-25T07:14:37Z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82FF4A23816F4BD48CEB720427BDC8F0_11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