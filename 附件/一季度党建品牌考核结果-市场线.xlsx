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9024" activeTab="1"/>
  </bookViews>
  <sheets>
    <sheet name="市场线" sheetId="1" r:id="rId1"/>
    <sheet name="一季度考核结果" sheetId="2" r:id="rId2"/>
    <sheet name="政企线" sheetId="3" r:id="rId3"/>
    <sheet name="网络线" sheetId="4" r:id="rId4"/>
    <sheet name="职能线" sheetId="5" r:id="rId5"/>
  </sheets>
  <definedNames>
    <definedName name="_xlnm._FilterDatabase" localSheetId="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<sst xmlns="http://schemas.openxmlformats.org/spreadsheetml/2006/main" count="207" uniqueCount="149">
  <si>
    <t>2026年党建品牌活动得分规则（市场线）</t>
  </si>
  <si>
    <t>2026年党建品牌活动得分规则-区、县分公司</t>
  </si>
  <si>
    <t>专项活动</t>
  </si>
  <si>
    <t>考核指标</t>
  </si>
  <si>
    <t>考核原则</t>
  </si>
  <si>
    <t>权重</t>
  </si>
  <si>
    <t>联网业务“争3”
先锋工程</t>
  </si>
  <si>
    <t>强堡垒</t>
  </si>
  <si>
    <t>移宽增量收入</t>
  </si>
  <si>
    <t>考核移宽增量收入完成，以增幅3%为目标，线性得分，满分封顶。</t>
  </si>
  <si>
    <t>移宽存量收入</t>
  </si>
  <si>
    <t>考核移宽存量收保率，以94%为年度目标，完成目标得满分，每低1PP扣5分，扣完为止。</t>
  </si>
  <si>
    <t>树旗帜</t>
  </si>
  <si>
    <t>社区市场</t>
  </si>
  <si>
    <t>考核社区市场综合评价，综合得分大于70分得满分，每低10分扣1分，扣完为止。</t>
  </si>
  <si>
    <t>农村市场</t>
  </si>
  <si>
    <t>考核份额破局（不含解放），按照年度完成率排名，排名第一单位得满分，排名第二至第九依次扣0.25分。</t>
  </si>
  <si>
    <t>商户市场</t>
  </si>
  <si>
    <t>考核商户市场综合评价，综合得分大于70分得满分，每低10分扣1分，扣完为止。</t>
  </si>
  <si>
    <t>锻铁军</t>
  </si>
  <si>
    <t>营业员</t>
  </si>
  <si>
    <t>考核三支铁军队伍销售积分达标，达标率达到目标得满分，低于目标且最后得60%分，其他得（达标率/目标值*40%+60%）*分值。</t>
  </si>
  <si>
    <t/>
  </si>
  <si>
    <t>渠道经理</t>
  </si>
  <si>
    <t>智家工程师</t>
  </si>
  <si>
    <t>服务口碑“争3”
暖心工程</t>
  </si>
  <si>
    <t>优服务</t>
  </si>
  <si>
    <t>TCSI综合满意度</t>
  </si>
  <si>
    <t>TCSI综合满意度测评得分＞=84，本项不扣分；小于84分，每低1分扣2分，扣完为止（如本月无明细数据取上月，取固移网平均值）。</t>
  </si>
  <si>
    <t>服务工单综合评价</t>
  </si>
  <si>
    <t>评价率目标值96%，每低1个点扣2分，扣完为止。</t>
  </si>
  <si>
    <t>强合规</t>
  </si>
  <si>
    <t>工信部来量压降</t>
  </si>
  <si>
    <t>工信部来量压降分单位设置目标值（剔重），低于目标值得满分；每高于目标值1户扣2分，扣完为止。</t>
  </si>
  <si>
    <t>春雷服务工单投诉压降</t>
  </si>
  <si>
    <t>服务工单压降（本地投诉+10015）分单位设置目标值（2025年后四季度均值），低于目标值得满分；每高于目标值1个点扣2分，扣完为止。</t>
  </si>
  <si>
    <t>合计</t>
  </si>
  <si>
    <t>2026年党建品牌活动得分规则-市场部/客服部</t>
  </si>
  <si>
    <t>部门</t>
  </si>
  <si>
    <t>市场部</t>
  </si>
  <si>
    <t>联网收入同比排名</t>
  </si>
  <si>
    <t>收入累计排名全省第3得满分，每低1名扣5分</t>
  </si>
  <si>
    <t>客服部</t>
  </si>
  <si>
    <t>TCSI 综合满意度排名</t>
  </si>
  <si>
    <t>TCSI 综合满意度排名全省第3得满分，每低1名扣5分</t>
  </si>
  <si>
    <t>考核规则见市场线表</t>
  </si>
  <si>
    <t>单位</t>
  </si>
  <si>
    <t>社区市场
（解放7.5分）</t>
  </si>
  <si>
    <t>商户市场
（解放7.5分）</t>
  </si>
  <si>
    <t>农村市场（解放不考核）</t>
  </si>
  <si>
    <t>铁军达标</t>
  </si>
  <si>
    <t>客户服务</t>
  </si>
  <si>
    <t>排名</t>
  </si>
  <si>
    <t>目标</t>
  </si>
  <si>
    <t>完成值</t>
  </si>
  <si>
    <t>完成率</t>
  </si>
  <si>
    <t>得分</t>
  </si>
  <si>
    <t>拍照收入</t>
  </si>
  <si>
    <t>综合评价得分</t>
  </si>
  <si>
    <t>份额破局目标</t>
  </si>
  <si>
    <t>焦作市博爱县分公司</t>
  </si>
  <si>
    <t>博爱</t>
  </si>
  <si>
    <t>焦作市孟州市分公司</t>
  </si>
  <si>
    <t>孟州</t>
  </si>
  <si>
    <t>焦作市沁阳市分公司</t>
  </si>
  <si>
    <t>沁阳</t>
  </si>
  <si>
    <t>焦作市温县分公司</t>
  </si>
  <si>
    <t>温县</t>
  </si>
  <si>
    <t>焦作市武陟县分公司</t>
  </si>
  <si>
    <t>武陟</t>
  </si>
  <si>
    <t>焦作市修武县分公司</t>
  </si>
  <si>
    <t>修武</t>
  </si>
  <si>
    <t>焦作市中站区分公司</t>
  </si>
  <si>
    <t>中站</t>
  </si>
  <si>
    <t>焦作市马村区分公司</t>
  </si>
  <si>
    <t>马村</t>
  </si>
  <si>
    <t>焦作市解放区分公司</t>
  </si>
  <si>
    <t>解放</t>
  </si>
  <si>
    <t>焦作市山阳区分公司</t>
  </si>
  <si>
    <t>山阳</t>
  </si>
  <si>
    <t>焦作市分公司</t>
  </si>
  <si>
    <t>指标</t>
  </si>
  <si>
    <t>2026年党建品牌活动得分规则（政企线）</t>
  </si>
  <si>
    <t>分值</t>
  </si>
  <si>
    <t>评价规则</t>
  </si>
  <si>
    <t>应用部门</t>
  </si>
  <si>
    <t>大企业市场 “党旗领航・提质争先”</t>
  </si>
  <si>
    <t>大企业市场收入同比增幅</t>
  </si>
  <si>
    <t>同比增幅为正开始得分，同比增幅每超1个百分点，得2分，36分封顶。</t>
  </si>
  <si>
    <t>六县、中站、马村、企业中心、政企部</t>
  </si>
  <si>
    <t>TOP321客户联网收入同比增幅</t>
  </si>
  <si>
    <t>TOP321客户专线业务渗透率</t>
  </si>
  <si>
    <t>按照渗透率线性计分</t>
  </si>
  <si>
    <t>大企业标杆客户拓展完成率</t>
  </si>
  <si>
    <t>按照目标完成率线性计分，1.2倍封顶</t>
  </si>
  <si>
    <t>“党建引领・份额争先” 公开市场份额攻坚</t>
  </si>
  <si>
    <t>公开市场运营商中标份额</t>
  </si>
  <si>
    <t>目标为50%，
1.中标份额≥30%开始计分，按照目标完成率线性得分，最高得满分
2.有自研项目拓展给予1.1系数，最高得满分</t>
  </si>
  <si>
    <t>2026年党建品牌活动得分规则-政企部/政要中心/校园中心/创新中心</t>
  </si>
  <si>
    <t>政要中心/校园中心/创新中心/解放/山阳</t>
  </si>
  <si>
    <t>2026年党建品牌活动得分规则（网络线）</t>
  </si>
  <si>
    <t>创标杆</t>
  </si>
  <si>
    <t>工匠行动</t>
  </si>
  <si>
    <t>根据各单位的工匠行动得分排名得分，第一名得30分，最后一名得15分，县分按30-2.14*（名次-1），区分按30-0.47*（名次-1)</t>
  </si>
  <si>
    <t>固、移网TCSI满意度</t>
  </si>
  <si>
    <t>行业排名第一，得2分；行业排名第二，得1分。满意度70-81（不含81），1-2分线性积分。满意度的得分81分至84分之间，4-6分线性计分。等于84分积6分，高于84分，积8分，固移各占得分50%</t>
  </si>
  <si>
    <t>移网重点场景达标率</t>
  </si>
  <si>
    <t>重点场景达标率大于等于98%得满分，低于94%不得分，中间线性得分</t>
  </si>
  <si>
    <t>宽带故障率</t>
  </si>
  <si>
    <t>按月评价，每月总分10分。
一、PON口（6分）：
PON口超时工单占比≤1%，不扣分，＞1%，每超1单扣0.1分，扣完为止。
二、一二级（共4分）：
①工单量占一级分光器比（1分）：占比≤4%，得满分；4%＜占比≤6%（0.9-0分），线性得分；占比＞6%，0分；
②一二级间超时工单占比（3分）：占比≤6%，不扣分;占比&gt;6%，每超1单扣0.005分，扣完为止。</t>
  </si>
  <si>
    <t>护安全</t>
  </si>
  <si>
    <t>网络安全</t>
  </si>
  <si>
    <t>S级故障发生1例扣10分，锚点机房基础信息错误（以智慧运维数据系统为准），立行立改的隐患未整改，加扣5分</t>
  </si>
  <si>
    <t>网信安</t>
  </si>
  <si>
    <t>1、每发生1次钓鱼邮件信息事件，扣2分，扣完为止。
2、每发生1次终端中毒情况，扣1分，扣完为止。
3、未及时完成网信安相关工作，1次2分，如果被省公司通报，1次扣5分，扣完为止。
4、未及时完成资产备案，1次扣2分。
5、未及时完成漏洞扫描，”两高一弱“风险排查，1次扣2分。
6、发生网信安安全事件，1次扣10分。</t>
  </si>
  <si>
    <t>提质效</t>
  </si>
  <si>
    <t>绿网行动-移网</t>
  </si>
  <si>
    <t>根据各单位的基站配套焕新、天馈焕新、铁塔改自建整体进度进行排名评价，第一名得10分，最后一名得4分，中间线性得分，未达序时进度不得分</t>
  </si>
  <si>
    <t>绿网行动-线路</t>
  </si>
  <si>
    <t>根据各单位光缆网维护成本压降序时目标及进度，第一名得10分，最后一名得4分，中间线性得分，未达序时进度不得分</t>
  </si>
  <si>
    <t>绿网行动-动力</t>
  </si>
  <si>
    <t>根据各单位自有能耗压降序时目标及进度，第一名得10分，最后一名得4分，中间线性得分，未达序时进度不得分</t>
  </si>
  <si>
    <t>2026年党建品牌活动得分规则-网络部/网络运营中心/交付中心</t>
  </si>
  <si>
    <t>网络部</t>
  </si>
  <si>
    <t>工匠行动总体排名</t>
  </si>
  <si>
    <t>工匠行动整体累计排名全省第1得满分，每低1名扣5分</t>
  </si>
  <si>
    <t>网络运营中心</t>
  </si>
  <si>
    <t>专业线工匠行动总体排名</t>
  </si>
  <si>
    <t>专业线累计排名全省第1得满分，每低1名扣5分</t>
  </si>
  <si>
    <t>交付中心</t>
  </si>
  <si>
    <t>2026年党建品牌活动得分规则（职能线）</t>
  </si>
  <si>
    <t>党建重点工作</t>
  </si>
  <si>
    <t>落实基本培训制度</t>
  </si>
  <si>
    <t>研讨交流落实情况</t>
  </si>
  <si>
    <t>1.未按要求开展研讨交流1次扣0.5分
2.未按要求录入1次扣0.5分</t>
  </si>
  <si>
    <t>“五星”支部建设、“四强”支部建设</t>
  </si>
  <si>
    <t>执行省公司对地市的考核指标</t>
  </si>
  <si>
    <t>按照省公司文件要求执行</t>
  </si>
  <si>
    <t>“立足岗位做贡献 服务发展当先锋”主题实践活动</t>
  </si>
  <si>
    <t>1.深化“党员亮身份”活动情况
2.创建“党员先锋岗”情况
3.组建“党员先锋队”情况</t>
  </si>
  <si>
    <t>按照季度评分细则，每季度分数占5分</t>
  </si>
  <si>
    <t>党建信息</t>
  </si>
  <si>
    <t>1.党建信息数量
2.党建信息质量</t>
  </si>
  <si>
    <t>按照年度排名，1-10名满分；11-23名9.5分；24-28名9分。</t>
  </si>
  <si>
    <t>基层党支部两个清单落实情况</t>
  </si>
  <si>
    <t>1.党支部支委会年度议事决策清单落实情况
2.党支部支委会研究讨论党的建设事项清单落实情况</t>
  </si>
  <si>
    <t>未严格落实事项清单内容，1项扣0.1分</t>
  </si>
  <si>
    <t>提质增效</t>
  </si>
  <si>
    <t>指标说明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</si>
</sst>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%"/>
  </numFmts>
  <fonts count="40">
    <font>
      <sz val="12"/>
      <color theme="1"/>
      <name val="等线"/>
      <charset val="134"/>
      <scheme val="minor"/>
    </font>
    <font>
      <sz val="12"/>
      <color rgb="FF000000"/>
      <name val="等线"/>
      <charset val="134"/>
    </font>
    <font>
      <sz val="14"/>
      <color rgb="FF000000"/>
      <name val="微软雅黑"/>
      <charset val="134"/>
    </font>
    <font>
      <b/>
      <sz val="10"/>
      <color rgb="FFFFFFFF"/>
      <name val="微软雅黑"/>
      <charset val="134"/>
    </font>
    <font>
      <sz val="11"/>
      <color rgb="FF000000"/>
      <name val="等线"/>
      <charset val="134"/>
    </font>
    <font>
      <b/>
      <sz val="12"/>
      <color rgb="FFFFFFFF"/>
      <name val="等线"/>
      <charset val="134"/>
    </font>
    <font>
      <sz val="11"/>
      <color rgb="FF000000"/>
      <name val="宋体"/>
      <charset val="134"/>
    </font>
    <font>
      <sz val="16"/>
      <color rgb="FF000000"/>
      <name val="微软雅黑"/>
      <charset val="134"/>
    </font>
    <font>
      <b/>
      <sz val="12"/>
      <color rgb="FFFFFFFF"/>
      <name val="微软雅黑"/>
      <charset val="134"/>
    </font>
    <font>
      <sz val="11"/>
      <color rgb="FF000000"/>
      <name val="微软雅黑"/>
      <charset val="134"/>
    </font>
    <font>
      <sz val="12"/>
      <color rgb="FFFFFFFF"/>
      <name val="微软雅黑"/>
      <charset val="134"/>
    </font>
    <font>
      <sz val="12"/>
      <color rgb="FF000000"/>
      <name val="微软雅黑"/>
      <charset val="134"/>
    </font>
    <font>
      <sz val="10"/>
      <color rgb="FF000000"/>
      <name val="微软雅黑"/>
      <charset val="134"/>
    </font>
    <font>
      <b/>
      <sz val="10"/>
      <name val="微软雅黑"/>
      <charset val="134"/>
    </font>
    <font>
      <sz val="10"/>
      <name val="等线"/>
      <charset val="134"/>
    </font>
    <font>
      <sz val="10"/>
      <name val="微软雅黑"/>
      <charset val="134"/>
    </font>
    <font>
      <sz val="10"/>
      <name val="Microsoft YaHei"/>
      <charset val="134"/>
    </font>
    <font>
      <b/>
      <sz val="10"/>
      <name val="宋体"/>
      <charset val="134"/>
    </font>
    <font>
      <sz val="12"/>
      <name val="等线"/>
      <charset val="134"/>
    </font>
    <font>
      <sz val="10"/>
      <color rgb="FF000000"/>
      <name val="等线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4" borderId="8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5" borderId="11" applyNumberFormat="0" applyAlignment="0" applyProtection="0">
      <alignment vertical="center"/>
    </xf>
    <xf numFmtId="0" fontId="30" fillId="6" borderId="12" applyNumberFormat="0" applyAlignment="0" applyProtection="0">
      <alignment vertical="center"/>
    </xf>
    <xf numFmtId="0" fontId="31" fillId="6" borderId="11" applyNumberFormat="0" applyAlignment="0" applyProtection="0">
      <alignment vertical="center"/>
    </xf>
    <xf numFmtId="0" fontId="32" fillId="7" borderId="13" applyNumberFormat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4" fillId="0" borderId="15" applyNumberFormat="0" applyFill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" vertical="center"/>
    </xf>
    <xf numFmtId="0" fontId="2" fillId="0" borderId="3" xfId="0" applyFont="1" applyBorder="1" applyAlignment="1" applyProtection="1">
      <alignment horizontal="center" vertical="center"/>
    </xf>
    <xf numFmtId="0" fontId="3" fillId="2" borderId="4" xfId="0" applyFont="1" applyFill="1" applyBorder="1" applyAlignment="1" applyProtection="1">
      <alignment horizontal="center" vertical="center" wrapText="1"/>
    </xf>
    <xf numFmtId="0" fontId="4" fillId="0" borderId="4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center" vertical="center" wrapText="1"/>
    </xf>
    <xf numFmtId="0" fontId="4" fillId="0" borderId="4" xfId="0" applyFont="1" applyBorder="1" applyProtection="1">
      <alignment vertical="center"/>
    </xf>
    <xf numFmtId="0" fontId="5" fillId="2" borderId="4" xfId="0" applyFont="1" applyFill="1" applyBorder="1" applyAlignment="1" applyProtection="1">
      <alignment horizontal="center" vertical="center"/>
    </xf>
    <xf numFmtId="0" fontId="1" fillId="0" borderId="4" xfId="0" applyFont="1" applyBorder="1" applyAlignment="1" applyProtection="1">
      <alignment horizontal="center"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8" fillId="2" borderId="4" xfId="0" applyFont="1" applyFill="1" applyBorder="1" applyAlignment="1" applyProtection="1">
      <alignment horizontal="center" vertical="center" wrapText="1"/>
    </xf>
    <xf numFmtId="0" fontId="9" fillId="0" borderId="4" xfId="0" applyFont="1" applyBorder="1" applyAlignment="1" applyProtection="1">
      <alignment horizontal="center" vertical="center" wrapText="1"/>
    </xf>
    <xf numFmtId="0" fontId="9" fillId="0" borderId="5" xfId="0" applyFont="1" applyBorder="1" applyAlignment="1" applyProtection="1">
      <alignment horizontal="center" vertical="center" wrapText="1"/>
    </xf>
    <xf numFmtId="0" fontId="9" fillId="0" borderId="1" xfId="0" applyFont="1" applyBorder="1" applyAlignment="1" applyProtection="1">
      <alignment horizontal="center" vertical="center" wrapText="1"/>
    </xf>
    <xf numFmtId="0" fontId="9" fillId="0" borderId="6" xfId="0" applyFont="1" applyBorder="1" applyAlignment="1" applyProtection="1">
      <alignment horizontal="center" vertical="center" wrapText="1"/>
    </xf>
    <xf numFmtId="0" fontId="9" fillId="0" borderId="4" xfId="0" applyFont="1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center" vertical="center"/>
    </xf>
    <xf numFmtId="0" fontId="8" fillId="2" borderId="4" xfId="0" applyFont="1" applyFill="1" applyBorder="1" applyAlignment="1" applyProtection="1">
      <alignment horizontal="center" vertical="center"/>
    </xf>
    <xf numFmtId="0" fontId="4" fillId="0" borderId="0" xfId="0" applyFont="1">
      <alignment vertical="center"/>
    </xf>
    <xf numFmtId="0" fontId="10" fillId="2" borderId="4" xfId="0" applyFont="1" applyFill="1" applyBorder="1" applyAlignment="1" applyProtection="1">
      <alignment horizontal="center" vertical="center"/>
    </xf>
    <xf numFmtId="0" fontId="11" fillId="0" borderId="4" xfId="0" applyFont="1" applyBorder="1" applyAlignment="1" applyProtection="1">
      <alignment horizontal="center" vertical="center"/>
    </xf>
    <xf numFmtId="0" fontId="11" fillId="0" borderId="4" xfId="0" applyFont="1" applyBorder="1" applyAlignment="1" applyProtection="1">
      <alignment horizontal="center" vertical="center" wrapText="1"/>
    </xf>
    <xf numFmtId="0" fontId="3" fillId="2" borderId="4" xfId="0" applyFont="1" applyFill="1" applyBorder="1" applyAlignment="1" applyProtection="1">
      <alignment horizontal="center" vertical="center"/>
    </xf>
    <xf numFmtId="0" fontId="12" fillId="0" borderId="4" xfId="0" applyFont="1" applyBorder="1" applyAlignment="1" applyProtection="1">
      <alignment horizontal="center" vertical="center"/>
    </xf>
    <xf numFmtId="0" fontId="12" fillId="0" borderId="4" xfId="0" applyFont="1" applyBorder="1" applyAlignment="1" applyProtection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3" borderId="0" xfId="0" applyFill="1">
      <alignment vertical="center"/>
    </xf>
    <xf numFmtId="176" fontId="1" fillId="0" borderId="0" xfId="0" applyNumberFormat="1" applyFont="1">
      <alignment vertical="center"/>
    </xf>
    <xf numFmtId="0" fontId="13" fillId="0" borderId="4" xfId="0" applyFont="1" applyFill="1" applyBorder="1" applyAlignment="1" applyProtection="1">
      <alignment horizontal="center" vertical="center" wrapText="1"/>
    </xf>
    <xf numFmtId="0" fontId="13" fillId="0" borderId="4" xfId="0" applyFont="1" applyFill="1" applyBorder="1" applyAlignment="1" applyProtection="1">
      <alignment horizontal="center" vertical="center"/>
    </xf>
    <xf numFmtId="176" fontId="13" fillId="0" borderId="5" xfId="0" applyNumberFormat="1" applyFont="1" applyFill="1" applyBorder="1" applyAlignment="1" applyProtection="1">
      <alignment horizontal="center" vertical="center" wrapText="1"/>
    </xf>
    <xf numFmtId="0" fontId="13" fillId="0" borderId="5" xfId="0" applyFont="1" applyFill="1" applyBorder="1" applyAlignment="1" applyProtection="1">
      <alignment horizontal="center" vertical="center" wrapText="1"/>
    </xf>
    <xf numFmtId="176" fontId="14" fillId="0" borderId="6" xfId="0" applyNumberFormat="1" applyFont="1" applyFill="1" applyBorder="1" applyProtection="1">
      <alignment vertical="center"/>
    </xf>
    <xf numFmtId="0" fontId="14" fillId="0" borderId="6" xfId="0" applyFont="1" applyFill="1" applyBorder="1" applyProtection="1">
      <alignment vertical="center"/>
    </xf>
    <xf numFmtId="0" fontId="15" fillId="0" borderId="4" xfId="0" applyFont="1" applyFill="1" applyBorder="1" applyAlignment="1" applyProtection="1">
      <alignment horizontal="center" vertical="center"/>
    </xf>
    <xf numFmtId="2" fontId="16" fillId="0" borderId="4" xfId="0" applyNumberFormat="1" applyFont="1" applyFill="1" applyBorder="1" applyAlignment="1" applyProtection="1">
      <alignment horizontal="center" vertical="center"/>
    </xf>
    <xf numFmtId="0" fontId="16" fillId="0" borderId="4" xfId="0" applyFont="1" applyFill="1" applyBorder="1" applyAlignment="1" applyProtection="1">
      <alignment horizontal="center" vertical="center"/>
    </xf>
    <xf numFmtId="10" fontId="16" fillId="0" borderId="4" xfId="0" applyNumberFormat="1" applyFont="1" applyFill="1" applyBorder="1" applyAlignment="1" applyProtection="1">
      <alignment horizontal="center" vertical="center"/>
    </xf>
    <xf numFmtId="4" fontId="16" fillId="0" borderId="4" xfId="0" applyNumberFormat="1" applyFont="1" applyFill="1" applyBorder="1" applyAlignment="1" applyProtection="1">
      <alignment horizontal="center" vertical="center"/>
    </xf>
    <xf numFmtId="1" fontId="16" fillId="0" borderId="4" xfId="0" applyNumberFormat="1" applyFont="1" applyFill="1" applyBorder="1" applyAlignment="1" applyProtection="1">
      <alignment horizontal="center" vertical="center"/>
    </xf>
    <xf numFmtId="0" fontId="17" fillId="0" borderId="4" xfId="0" applyFont="1" applyFill="1" applyBorder="1" applyAlignment="1" applyProtection="1">
      <alignment horizontal="center" vertical="center"/>
    </xf>
    <xf numFmtId="0" fontId="14" fillId="0" borderId="4" xfId="0" applyFont="1" applyFill="1" applyBorder="1" applyAlignment="1" applyProtection="1">
      <alignment horizontal="center" vertical="center"/>
    </xf>
    <xf numFmtId="177" fontId="14" fillId="0" borderId="4" xfId="0" applyNumberFormat="1" applyFont="1" applyFill="1" applyBorder="1" applyAlignment="1" applyProtection="1">
      <alignment horizontal="center" vertical="center"/>
    </xf>
    <xf numFmtId="2" fontId="16" fillId="0" borderId="1" xfId="0" applyNumberFormat="1" applyFont="1" applyFill="1" applyBorder="1" applyAlignment="1" applyProtection="1">
      <alignment horizontal="center" vertical="center"/>
    </xf>
    <xf numFmtId="0" fontId="18" fillId="0" borderId="3" xfId="0" applyFont="1" applyFill="1" applyBorder="1" applyAlignment="1" applyProtection="1">
      <alignment horizontal="center" vertical="center"/>
    </xf>
    <xf numFmtId="0" fontId="18" fillId="0" borderId="4" xfId="0" applyFont="1" applyFill="1" applyBorder="1" applyAlignment="1" applyProtection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5" fillId="0" borderId="4" xfId="0" applyFont="1" applyFill="1" applyBorder="1" applyAlignment="1" applyProtection="1">
      <alignment horizontal="center" vertical="center"/>
    </xf>
    <xf numFmtId="2" fontId="16" fillId="0" borderId="4" xfId="0" applyNumberFormat="1" applyFont="1" applyFill="1" applyBorder="1" applyAlignment="1" applyProtection="1">
      <alignment horizontal="center" vertical="center"/>
    </xf>
    <xf numFmtId="0" fontId="16" fillId="0" borderId="4" xfId="0" applyFont="1" applyFill="1" applyBorder="1" applyAlignment="1" applyProtection="1">
      <alignment horizontal="center" vertical="center"/>
    </xf>
    <xf numFmtId="10" fontId="16" fillId="0" borderId="4" xfId="0" applyNumberFormat="1" applyFont="1" applyFill="1" applyBorder="1" applyAlignment="1" applyProtection="1">
      <alignment horizontal="center" vertical="center"/>
    </xf>
    <xf numFmtId="4" fontId="16" fillId="0" borderId="4" xfId="0" applyNumberFormat="1" applyFont="1" applyFill="1" applyBorder="1" applyAlignment="1" applyProtection="1">
      <alignment horizontal="center" vertical="center"/>
    </xf>
    <xf numFmtId="1" fontId="16" fillId="0" borderId="4" xfId="0" applyNumberFormat="1" applyFont="1" applyFill="1" applyBorder="1" applyAlignment="1" applyProtection="1">
      <alignment horizontal="center" vertical="center"/>
    </xf>
    <xf numFmtId="0" fontId="17" fillId="0" borderId="4" xfId="0" applyFont="1" applyFill="1" applyBorder="1" applyAlignment="1" applyProtection="1">
      <alignment horizontal="center" vertical="center"/>
    </xf>
    <xf numFmtId="0" fontId="14" fillId="0" borderId="4" xfId="0" applyFont="1" applyFill="1" applyBorder="1" applyAlignment="1" applyProtection="1">
      <alignment horizontal="center" vertical="center"/>
    </xf>
    <xf numFmtId="177" fontId="14" fillId="0" borderId="4" xfId="0" applyNumberFormat="1" applyFont="1" applyFill="1" applyBorder="1" applyAlignment="1" applyProtection="1">
      <alignment horizontal="center" vertical="center"/>
    </xf>
    <xf numFmtId="2" fontId="16" fillId="0" borderId="1" xfId="0" applyNumberFormat="1" applyFont="1" applyFill="1" applyBorder="1" applyAlignment="1" applyProtection="1">
      <alignment horizontal="center" vertical="center"/>
    </xf>
    <xf numFmtId="0" fontId="18" fillId="0" borderId="3" xfId="0" applyFont="1" applyFill="1" applyBorder="1" applyAlignment="1" applyProtection="1">
      <alignment horizontal="center" vertical="center"/>
    </xf>
    <xf numFmtId="0" fontId="18" fillId="0" borderId="4" xfId="0" applyFont="1" applyFill="1" applyBorder="1" applyAlignment="1" applyProtection="1">
      <alignment horizontal="center" vertical="center"/>
    </xf>
    <xf numFmtId="0" fontId="14" fillId="0" borderId="0" xfId="0" applyFont="1" applyFill="1" applyAlignment="1">
      <alignment horizontal="center" vertical="center"/>
    </xf>
    <xf numFmtId="1" fontId="13" fillId="0" borderId="4" xfId="0" applyNumberFormat="1" applyFont="1" applyFill="1" applyBorder="1" applyAlignment="1" applyProtection="1">
      <alignment horizontal="center" vertical="center"/>
    </xf>
    <xf numFmtId="10" fontId="13" fillId="0" borderId="4" xfId="0" applyNumberFormat="1" applyFont="1" applyFill="1" applyBorder="1" applyAlignment="1" applyProtection="1">
      <alignment horizontal="center" vertical="center"/>
    </xf>
    <xf numFmtId="176" fontId="13" fillId="0" borderId="4" xfId="0" applyNumberFormat="1" applyFont="1" applyFill="1" applyBorder="1" applyAlignment="1" applyProtection="1">
      <alignment horizontal="center" vertical="center"/>
    </xf>
    <xf numFmtId="9" fontId="1" fillId="0" borderId="0" xfId="0" applyNumberFormat="1" applyFont="1">
      <alignment vertical="center"/>
    </xf>
    <xf numFmtId="4" fontId="1" fillId="0" borderId="4" xfId="0" applyNumberFormat="1" applyFont="1" applyBorder="1" applyProtection="1">
      <alignment vertical="center"/>
    </xf>
    <xf numFmtId="2" fontId="1" fillId="0" borderId="4" xfId="0" applyNumberFormat="1" applyFont="1" applyBorder="1" applyProtection="1">
      <alignment vertical="center"/>
    </xf>
    <xf numFmtId="10" fontId="1" fillId="0" borderId="0" xfId="0" applyNumberFormat="1" applyFont="1">
      <alignment vertical="center"/>
    </xf>
    <xf numFmtId="0" fontId="12" fillId="0" borderId="4" xfId="0" applyFont="1" applyBorder="1" applyAlignment="1" applyProtection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5" xfId="0" applyFont="1" applyBorder="1" applyAlignment="1" applyProtection="1">
      <alignment horizontal="left" vertical="center" wrapText="1"/>
    </xf>
    <xf numFmtId="0" fontId="19" fillId="0" borderId="7" xfId="0" applyFont="1" applyBorder="1" applyAlignment="1" applyProtection="1">
      <alignment horizontal="left" vertical="center"/>
    </xf>
    <xf numFmtId="0" fontId="19" fillId="0" borderId="0" xfId="0" applyFont="1">
      <alignment vertical="center"/>
    </xf>
    <xf numFmtId="0" fontId="19" fillId="0" borderId="6" xfId="0" applyFont="1" applyBorder="1" applyAlignment="1" applyProtection="1">
      <alignment horizontal="left" vertical="center"/>
    </xf>
    <xf numFmtId="0" fontId="12" fillId="0" borderId="5" xfId="0" applyFont="1" applyBorder="1" applyAlignment="1" applyProtection="1">
      <alignment horizontal="center" vertical="center"/>
    </xf>
    <xf numFmtId="0" fontId="12" fillId="0" borderId="6" xfId="0" applyFont="1" applyBorder="1" applyAlignment="1" applyProtection="1">
      <alignment horizontal="center" vertical="center"/>
    </xf>
    <xf numFmtId="0" fontId="1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b val="1"/>
        <i val="0"/>
        <color rgb="FFFF0000"/>
      </font>
    </dxf>
    <dxf>
      <font>
        <b val="1"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23"/>
  <sheetViews>
    <sheetView topLeftCell="A7" workbookViewId="0">
      <selection activeCell="B23" sqref="B23"/>
    </sheetView>
  </sheetViews>
  <sheetFormatPr defaultColWidth="9" defaultRowHeight="13.5" customHeight="1" outlineLevelCol="5"/>
  <cols>
    <col min="1" max="1" width="17.5" style="1" customWidth="1"/>
    <col min="2" max="2" width="11.1666666666667" style="12" customWidth="1"/>
    <col min="3" max="3" width="17.6666666666667" style="12" customWidth="1"/>
    <col min="4" max="4" width="79.3333333333333" style="12" customWidth="1"/>
    <col min="5" max="5" width="8.5" style="12" customWidth="1"/>
    <col min="6" max="6" width="8.5" style="1" customWidth="1"/>
  </cols>
  <sheetData>
    <row r="1" ht="36" customHeight="1" spans="1:6">
      <c r="A1" s="72" t="s">
        <v>0</v>
      </c>
      <c r="B1" s="72"/>
      <c r="C1" s="72"/>
      <c r="D1" s="72"/>
      <c r="E1" s="72"/>
    </row>
    <row r="2" ht="36" customHeight="1" spans="1:6">
      <c r="A2" s="6" t="s">
        <v>1</v>
      </c>
      <c r="B2" s="6"/>
      <c r="C2" s="6"/>
      <c r="D2" s="6"/>
      <c r="E2" s="6"/>
    </row>
    <row r="3" ht="18" customHeight="1" spans="1:6">
      <c r="A3" s="28" t="s">
        <v>2</v>
      </c>
      <c r="B3" s="28"/>
      <c r="C3" s="28" t="s">
        <v>3</v>
      </c>
      <c r="D3" s="28" t="s">
        <v>4</v>
      </c>
      <c r="E3" s="28" t="s">
        <v>5</v>
      </c>
    </row>
    <row r="4" ht="18" customHeight="1" spans="1:6">
      <c r="A4" s="28" t="s">
        <v>6</v>
      </c>
      <c r="B4" s="28" t="s">
        <v>7</v>
      </c>
      <c r="C4" s="28" t="s">
        <v>8</v>
      </c>
      <c r="D4" s="71" t="s">
        <v>9</v>
      </c>
      <c r="E4" s="28">
        <v>15</v>
      </c>
    </row>
    <row r="5" ht="18" customHeight="1" spans="1:6">
      <c r="A5" s="28"/>
      <c r="B5" s="28"/>
      <c r="C5" s="28" t="s">
        <v>10</v>
      </c>
      <c r="D5" s="71" t="s">
        <v>11</v>
      </c>
      <c r="E5" s="28">
        <v>15</v>
      </c>
    </row>
    <row r="6" ht="18" customHeight="1" spans="1:6">
      <c r="A6" s="28"/>
      <c r="B6" s="28" t="s">
        <v>12</v>
      </c>
      <c r="C6" s="28" t="s">
        <v>13</v>
      </c>
      <c r="D6" s="71" t="s">
        <v>14</v>
      </c>
      <c r="E6" s="28">
        <v>5</v>
      </c>
    </row>
    <row r="7" ht="18" customHeight="1" spans="1:6">
      <c r="A7" s="28"/>
      <c r="B7" s="28"/>
      <c r="C7" s="28" t="s">
        <v>15</v>
      </c>
      <c r="D7" s="71" t="s">
        <v>16</v>
      </c>
      <c r="E7" s="28">
        <v>5</v>
      </c>
    </row>
    <row r="8" ht="18" customHeight="1" spans="1:6">
      <c r="A8" s="28"/>
      <c r="B8" s="28"/>
      <c r="C8" s="28" t="s">
        <v>17</v>
      </c>
      <c r="D8" s="71" t="s">
        <v>18</v>
      </c>
      <c r="E8" s="28">
        <v>5</v>
      </c>
    </row>
    <row r="9" ht="18" customHeight="1" spans="1:6">
      <c r="A9" s="28"/>
      <c r="B9" s="28" t="s">
        <v>19</v>
      </c>
      <c r="C9" s="28" t="s">
        <v>20</v>
      </c>
      <c r="D9" s="73" t="s">
        <v>21</v>
      </c>
      <c r="E9" s="28">
        <v>5</v>
      </c>
      <c r="F9" s="1" t="s">
        <v>22</v>
      </c>
    </row>
    <row r="10" ht="18" customHeight="1" spans="1:6">
      <c r="A10" s="28"/>
      <c r="B10" s="28"/>
      <c r="C10" s="28" t="s">
        <v>23</v>
      </c>
      <c r="D10" s="74"/>
      <c r="E10" s="28">
        <v>5</v>
      </c>
      <c r="F10" s="75"/>
    </row>
    <row r="11" ht="18" customHeight="1" spans="1:6">
      <c r="A11" s="28"/>
      <c r="B11" s="28"/>
      <c r="C11" s="28" t="s">
        <v>24</v>
      </c>
      <c r="D11" s="76"/>
      <c r="E11" s="28">
        <v>5</v>
      </c>
      <c r="F11" s="75"/>
    </row>
    <row r="12" ht="36" customHeight="1" spans="1:6">
      <c r="A12" s="28" t="s">
        <v>25</v>
      </c>
      <c r="B12" s="77" t="s">
        <v>26</v>
      </c>
      <c r="C12" s="27" t="s">
        <v>27</v>
      </c>
      <c r="D12" s="71" t="s">
        <v>28</v>
      </c>
      <c r="E12" s="27">
        <v>10</v>
      </c>
    </row>
    <row r="13" ht="18" customHeight="1" spans="1:6">
      <c r="A13" s="28"/>
      <c r="B13" s="78"/>
      <c r="C13" s="27" t="s">
        <v>29</v>
      </c>
      <c r="D13" s="71" t="s">
        <v>30</v>
      </c>
      <c r="E13" s="27">
        <v>10</v>
      </c>
    </row>
    <row r="14" ht="18" customHeight="1" spans="1:6">
      <c r="A14" s="28"/>
      <c r="B14" s="77" t="s">
        <v>31</v>
      </c>
      <c r="C14" s="27" t="s">
        <v>32</v>
      </c>
      <c r="D14" s="71" t="s">
        <v>33</v>
      </c>
      <c r="E14" s="27">
        <v>10</v>
      </c>
    </row>
    <row r="15" ht="36" customHeight="1" spans="1:6">
      <c r="A15" s="28"/>
      <c r="B15" s="78"/>
      <c r="C15" s="28" t="s">
        <v>34</v>
      </c>
      <c r="D15" s="71" t="s">
        <v>35</v>
      </c>
      <c r="E15" s="27">
        <v>10</v>
      </c>
    </row>
    <row r="16" ht="18" customHeight="1" spans="1:6">
      <c r="A16" s="6" t="s">
        <v>36</v>
      </c>
      <c r="B16" s="6"/>
      <c r="C16" s="6"/>
      <c r="D16" s="6"/>
      <c r="E16" s="26">
        <f>SUM(E4:E15)</f>
        <v>100</v>
      </c>
    </row>
    <row r="17" customHeight="1" spans="1:5">
      <c r="A17" s="79"/>
    </row>
    <row r="18" customHeight="1" spans="1:5">
      <c r="A18" s="79"/>
    </row>
    <row r="20" ht="23" customHeight="1" spans="1:5">
      <c r="B20" s="26" t="s">
        <v>37</v>
      </c>
      <c r="C20" s="26"/>
      <c r="D20" s="26"/>
      <c r="E20" s="26"/>
    </row>
    <row r="21" ht="18" customHeight="1" spans="1:5">
      <c r="B21" s="27" t="s">
        <v>38</v>
      </c>
      <c r="C21" s="27" t="s">
        <v>3</v>
      </c>
      <c r="D21" s="27" t="s">
        <v>4</v>
      </c>
      <c r="E21" s="27" t="s">
        <v>5</v>
      </c>
    </row>
    <row r="22" ht="18" customHeight="1" spans="1:5">
      <c r="B22" s="27" t="s">
        <v>39</v>
      </c>
      <c r="C22" s="27" t="s">
        <v>40</v>
      </c>
      <c r="D22" s="27" t="s">
        <v>41</v>
      </c>
      <c r="E22" s="27">
        <v>100</v>
      </c>
    </row>
    <row r="23" ht="18" customHeight="1" spans="1:5">
      <c r="B23" s="27" t="s">
        <v>42</v>
      </c>
      <c r="C23" s="27" t="s">
        <v>43</v>
      </c>
      <c r="D23" s="27" t="s">
        <v>44</v>
      </c>
      <c r="E23" s="27">
        <v>100</v>
      </c>
    </row>
  </sheetData>
  <mergeCells count="14">
    <mergeCell ref="A1:E1"/>
    <mergeCell ref="A2:E2"/>
    <mergeCell ref="A3:B3"/>
    <mergeCell ref="A16:D16"/>
    <mergeCell ref="B20:E20"/>
    <mergeCell ref="A4:A11"/>
    <mergeCell ref="A12:A15"/>
    <mergeCell ref="B4:B5"/>
    <mergeCell ref="B6:B8"/>
    <mergeCell ref="B9:B11"/>
    <mergeCell ref="B12:B13"/>
    <mergeCell ref="B14:B15"/>
    <mergeCell ref="D9:D11"/>
    <mergeCell ref="F9:F1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B17"/>
  <sheetViews>
    <sheetView tabSelected="1" topLeftCell="F2" workbookViewId="0">
      <selection activeCell="AB12" sqref="AB12"/>
    </sheetView>
  </sheetViews>
  <sheetFormatPr defaultColWidth="9" defaultRowHeight="15.75" customHeight="1"/>
  <cols>
    <col min="1" max="1" width="16.6666666666667" style="1" customWidth="1"/>
    <col min="2" max="4" width="6" style="1" customWidth="1"/>
    <col min="5" max="5" width="7.5" style="1" customWidth="1"/>
    <col min="6" max="6" width="6" style="1" customWidth="1"/>
    <col min="7" max="7" width="8.83333333333333" style="1" customWidth="1"/>
    <col min="8" max="9" width="7" style="1"/>
    <col min="10" max="10" width="9" style="1" customWidth="1"/>
    <col min="11" max="11" width="8" style="1"/>
    <col min="12" max="17" width="6" style="1" customWidth="1"/>
    <col min="18" max="18" width="7.16666666666667" style="1" customWidth="1"/>
    <col min="19" max="26" width="6" style="1" customWidth="1"/>
    <col min="27" max="27" width="6" style="31" customWidth="1"/>
  </cols>
  <sheetData>
    <row r="1" ht="42" customHeight="1" spans="1:28">
      <c r="A1" s="32" t="s">
        <v>45</v>
      </c>
      <c r="B1" s="32" t="s">
        <v>46</v>
      </c>
      <c r="C1" s="32" t="s">
        <v>8</v>
      </c>
      <c r="D1" s="32"/>
      <c r="E1" s="32"/>
      <c r="F1" s="32"/>
      <c r="G1" s="32" t="s">
        <v>10</v>
      </c>
      <c r="H1" s="32"/>
      <c r="I1" s="32"/>
      <c r="J1" s="32"/>
      <c r="K1" s="32"/>
      <c r="L1" s="32" t="s">
        <v>47</v>
      </c>
      <c r="M1" s="32"/>
      <c r="N1" s="32" t="s">
        <v>48</v>
      </c>
      <c r="O1" s="32"/>
      <c r="P1" s="32" t="s">
        <v>49</v>
      </c>
      <c r="Q1" s="32"/>
      <c r="R1" s="32"/>
      <c r="S1" s="32"/>
      <c r="T1" s="33" t="s">
        <v>50</v>
      </c>
      <c r="U1" s="33"/>
      <c r="V1" s="33"/>
      <c r="W1" s="33" t="s">
        <v>51</v>
      </c>
      <c r="X1" s="33"/>
      <c r="Y1" s="33"/>
      <c r="Z1" s="33"/>
      <c r="AA1" s="34" t="s">
        <v>36</v>
      </c>
      <c r="AB1" s="35" t="s">
        <v>52</v>
      </c>
    </row>
    <row r="2" s="29" customFormat="1" ht="51" customHeight="1" spans="1:28">
      <c r="A2" s="32"/>
      <c r="B2" s="32"/>
      <c r="C2" s="32" t="s">
        <v>53</v>
      </c>
      <c r="D2" s="32" t="s">
        <v>54</v>
      </c>
      <c r="E2" s="32" t="s">
        <v>55</v>
      </c>
      <c r="F2" s="32" t="s">
        <v>56</v>
      </c>
      <c r="G2" s="32" t="s">
        <v>57</v>
      </c>
      <c r="H2" s="32" t="s">
        <v>53</v>
      </c>
      <c r="I2" s="32" t="s">
        <v>54</v>
      </c>
      <c r="J2" s="32" t="s">
        <v>55</v>
      </c>
      <c r="K2" s="32" t="s">
        <v>56</v>
      </c>
      <c r="L2" s="32" t="s">
        <v>58</v>
      </c>
      <c r="M2" s="32" t="s">
        <v>56</v>
      </c>
      <c r="N2" s="32" t="s">
        <v>58</v>
      </c>
      <c r="O2" s="32" t="s">
        <v>56</v>
      </c>
      <c r="P2" s="32" t="s">
        <v>59</v>
      </c>
      <c r="Q2" s="32" t="s">
        <v>54</v>
      </c>
      <c r="R2" s="32" t="s">
        <v>55</v>
      </c>
      <c r="S2" s="32" t="s">
        <v>56</v>
      </c>
      <c r="T2" s="35" t="s">
        <v>20</v>
      </c>
      <c r="U2" s="35" t="s">
        <v>23</v>
      </c>
      <c r="V2" s="35" t="s">
        <v>24</v>
      </c>
      <c r="W2" s="32" t="s">
        <v>27</v>
      </c>
      <c r="X2" s="32" t="s">
        <v>29</v>
      </c>
      <c r="Y2" s="32" t="s">
        <v>32</v>
      </c>
      <c r="Z2" s="32" t="s">
        <v>34</v>
      </c>
      <c r="AA2" s="36"/>
      <c r="AB2" s="37"/>
    </row>
    <row r="3" ht="22" customHeight="1" spans="1:28">
      <c r="A3" s="38" t="s">
        <v>60</v>
      </c>
      <c r="B3" s="38" t="s">
        <v>61</v>
      </c>
      <c r="C3" s="39">
        <v>47.2873</v>
      </c>
      <c r="D3" s="40">
        <v>39.87</v>
      </c>
      <c r="E3" s="41">
        <f t="shared" ref="E3:E13" si="0">D3/C3</f>
        <v>0.843143930822864</v>
      </c>
      <c r="F3" s="42">
        <f t="shared" ref="F3:F13" si="1">MIN(15,E3*15)</f>
        <v>12.647158962343</v>
      </c>
      <c r="G3" s="43">
        <v>1836</v>
      </c>
      <c r="H3" s="43">
        <v>1801</v>
      </c>
      <c r="I3" s="40">
        <v>1791</v>
      </c>
      <c r="J3" s="41">
        <v>0.9944</v>
      </c>
      <c r="K3" s="42">
        <v>12.19</v>
      </c>
      <c r="L3" s="44">
        <v>80.51</v>
      </c>
      <c r="M3" s="42">
        <v>5</v>
      </c>
      <c r="N3" s="44">
        <v>64.13</v>
      </c>
      <c r="O3" s="42">
        <v>4</v>
      </c>
      <c r="P3" s="45">
        <v>57</v>
      </c>
      <c r="Q3" s="45">
        <v>11</v>
      </c>
      <c r="R3" s="46">
        <v>0.193</v>
      </c>
      <c r="S3" s="42">
        <v>4</v>
      </c>
      <c r="T3" s="47">
        <v>4.51</v>
      </c>
      <c r="U3" s="47">
        <v>4.56</v>
      </c>
      <c r="V3" s="47">
        <v>4.46</v>
      </c>
      <c r="W3" s="48">
        <v>10</v>
      </c>
      <c r="X3" s="49">
        <v>10</v>
      </c>
      <c r="Y3" s="49">
        <v>10</v>
      </c>
      <c r="Z3" s="49">
        <v>3.01</v>
      </c>
      <c r="AA3" s="42">
        <f t="shared" ref="AA3:AA13" si="2">F3+K3+M3+O3+S3+T3+U3+V3+W3+X3+Y3+Z3</f>
        <v>84.377158962343</v>
      </c>
      <c r="AB3" s="50">
        <f t="shared" ref="AB3:AB12" si="3">RANK(AA3,$AA$3:$AA$12)</f>
        <v>5</v>
      </c>
    </row>
    <row r="4" s="30" customFormat="1" ht="22" customHeight="1" spans="1:28">
      <c r="A4" s="51" t="s">
        <v>62</v>
      </c>
      <c r="B4" s="51" t="s">
        <v>63</v>
      </c>
      <c r="C4" s="52">
        <v>43.8574</v>
      </c>
      <c r="D4" s="53">
        <v>40.63</v>
      </c>
      <c r="E4" s="54">
        <f t="shared" si="0"/>
        <v>0.926411506382047</v>
      </c>
      <c r="F4" s="55">
        <f t="shared" si="1"/>
        <v>13.8961725957307</v>
      </c>
      <c r="G4" s="56">
        <v>1675</v>
      </c>
      <c r="H4" s="56">
        <v>1643</v>
      </c>
      <c r="I4" s="53">
        <v>1636</v>
      </c>
      <c r="J4" s="54">
        <v>0.9956</v>
      </c>
      <c r="K4" s="55">
        <v>12.82</v>
      </c>
      <c r="L4" s="57">
        <v>90.43</v>
      </c>
      <c r="M4" s="55">
        <v>5</v>
      </c>
      <c r="N4" s="57">
        <v>80.56</v>
      </c>
      <c r="O4" s="55">
        <v>5</v>
      </c>
      <c r="P4" s="58">
        <v>47</v>
      </c>
      <c r="Q4" s="58">
        <v>16</v>
      </c>
      <c r="R4" s="59">
        <v>0.34</v>
      </c>
      <c r="S4" s="55">
        <v>4.75</v>
      </c>
      <c r="T4" s="60">
        <v>4.51</v>
      </c>
      <c r="U4" s="60">
        <v>4.49</v>
      </c>
      <c r="V4" s="60">
        <v>3.86</v>
      </c>
      <c r="W4" s="61">
        <v>10</v>
      </c>
      <c r="X4" s="62">
        <v>10</v>
      </c>
      <c r="Y4" s="62">
        <v>10</v>
      </c>
      <c r="Z4" s="62">
        <v>3.81</v>
      </c>
      <c r="AA4" s="55">
        <f t="shared" si="2"/>
        <v>88.1361725957307</v>
      </c>
      <c r="AB4" s="63">
        <f t="shared" si="3"/>
        <v>2</v>
      </c>
    </row>
    <row r="5" ht="22" customHeight="1" spans="1:28">
      <c r="A5" s="38" t="s">
        <v>64</v>
      </c>
      <c r="B5" s="38" t="s">
        <v>65</v>
      </c>
      <c r="C5" s="39">
        <v>41.8489</v>
      </c>
      <c r="D5" s="40">
        <v>35.22</v>
      </c>
      <c r="E5" s="41">
        <f t="shared" si="0"/>
        <v>0.841599181818399</v>
      </c>
      <c r="F5" s="42">
        <f t="shared" si="1"/>
        <v>12.623987727276</v>
      </c>
      <c r="G5" s="43">
        <v>1749</v>
      </c>
      <c r="H5" s="43">
        <v>1716</v>
      </c>
      <c r="I5" s="40">
        <v>1714</v>
      </c>
      <c r="J5" s="41">
        <v>0.999</v>
      </c>
      <c r="K5" s="42">
        <v>14.48</v>
      </c>
      <c r="L5" s="44">
        <v>61.44</v>
      </c>
      <c r="M5" s="42">
        <v>4</v>
      </c>
      <c r="N5" s="44">
        <v>52.73</v>
      </c>
      <c r="O5" s="42">
        <v>3</v>
      </c>
      <c r="P5" s="45">
        <v>101</v>
      </c>
      <c r="Q5" s="45">
        <v>10</v>
      </c>
      <c r="R5" s="46">
        <v>0.099</v>
      </c>
      <c r="S5" s="42">
        <v>3.5</v>
      </c>
      <c r="T5" s="47">
        <v>4.57</v>
      </c>
      <c r="U5" s="47">
        <v>4.05</v>
      </c>
      <c r="V5" s="47">
        <v>4.37</v>
      </c>
      <c r="W5" s="48">
        <v>10</v>
      </c>
      <c r="X5" s="49">
        <v>10</v>
      </c>
      <c r="Y5" s="49">
        <v>10</v>
      </c>
      <c r="Z5" s="49">
        <v>4.18</v>
      </c>
      <c r="AA5" s="42">
        <f t="shared" si="2"/>
        <v>84.773987727276</v>
      </c>
      <c r="AB5" s="50">
        <f t="shared" si="3"/>
        <v>4</v>
      </c>
    </row>
    <row r="6" s="30" customFormat="1" ht="22" customHeight="1" spans="1:28">
      <c r="A6" s="51" t="s">
        <v>66</v>
      </c>
      <c r="B6" s="51" t="s">
        <v>67</v>
      </c>
      <c r="C6" s="52">
        <v>48.1834</v>
      </c>
      <c r="D6" s="53">
        <v>48.05</v>
      </c>
      <c r="E6" s="54">
        <f t="shared" si="0"/>
        <v>0.997231411647995</v>
      </c>
      <c r="F6" s="55">
        <f t="shared" si="1"/>
        <v>14.9584711747199</v>
      </c>
      <c r="G6" s="56">
        <v>1920</v>
      </c>
      <c r="H6" s="56">
        <v>1884</v>
      </c>
      <c r="I6" s="53">
        <v>1881</v>
      </c>
      <c r="J6" s="54">
        <v>0.9987</v>
      </c>
      <c r="K6" s="55">
        <v>14.33</v>
      </c>
      <c r="L6" s="57">
        <v>71.72</v>
      </c>
      <c r="M6" s="55">
        <v>5</v>
      </c>
      <c r="N6" s="57">
        <v>61.13</v>
      </c>
      <c r="O6" s="55">
        <v>4</v>
      </c>
      <c r="P6" s="58">
        <v>45</v>
      </c>
      <c r="Q6" s="58">
        <v>11</v>
      </c>
      <c r="R6" s="59">
        <v>0.244</v>
      </c>
      <c r="S6" s="55">
        <v>4.5</v>
      </c>
      <c r="T6" s="60">
        <v>4.38</v>
      </c>
      <c r="U6" s="60">
        <v>4.18</v>
      </c>
      <c r="V6" s="60">
        <v>3.92</v>
      </c>
      <c r="W6" s="61">
        <v>10</v>
      </c>
      <c r="X6" s="62">
        <v>10</v>
      </c>
      <c r="Y6" s="62">
        <v>10</v>
      </c>
      <c r="Z6" s="62">
        <v>5.04</v>
      </c>
      <c r="AA6" s="55">
        <f t="shared" si="2"/>
        <v>90.3084711747199</v>
      </c>
      <c r="AB6" s="63">
        <f t="shared" si="3"/>
        <v>1</v>
      </c>
    </row>
    <row r="7" ht="22" customHeight="1" spans="1:28">
      <c r="A7" s="38" t="s">
        <v>68</v>
      </c>
      <c r="B7" s="38" t="s">
        <v>69</v>
      </c>
      <c r="C7" s="39">
        <v>66.3938</v>
      </c>
      <c r="D7" s="40">
        <v>57.07</v>
      </c>
      <c r="E7" s="41">
        <f t="shared" si="0"/>
        <v>0.859568212694559</v>
      </c>
      <c r="F7" s="42">
        <f t="shared" si="1"/>
        <v>12.8935231904184</v>
      </c>
      <c r="G7" s="43">
        <v>2680</v>
      </c>
      <c r="H7" s="43">
        <v>2629</v>
      </c>
      <c r="I7" s="40">
        <v>2614</v>
      </c>
      <c r="J7" s="41">
        <v>0.9943</v>
      </c>
      <c r="K7" s="42">
        <v>12.13</v>
      </c>
      <c r="L7" s="44">
        <v>67.81</v>
      </c>
      <c r="M7" s="42">
        <v>4</v>
      </c>
      <c r="N7" s="44">
        <v>57.75</v>
      </c>
      <c r="O7" s="42">
        <v>3</v>
      </c>
      <c r="P7" s="45">
        <v>117</v>
      </c>
      <c r="Q7" s="45">
        <v>26</v>
      </c>
      <c r="R7" s="46">
        <v>0.222</v>
      </c>
      <c r="S7" s="42">
        <v>4.25</v>
      </c>
      <c r="T7" s="47">
        <v>4.29</v>
      </c>
      <c r="U7" s="47">
        <v>3.87</v>
      </c>
      <c r="V7" s="47">
        <v>4.47</v>
      </c>
      <c r="W7" s="48">
        <v>10</v>
      </c>
      <c r="X7" s="49">
        <v>10</v>
      </c>
      <c r="Y7" s="49">
        <v>4</v>
      </c>
      <c r="Z7" s="49">
        <v>2.26</v>
      </c>
      <c r="AA7" s="42">
        <f t="shared" si="2"/>
        <v>75.1635231904184</v>
      </c>
      <c r="AB7" s="50">
        <f t="shared" si="3"/>
        <v>10</v>
      </c>
    </row>
    <row r="8" ht="22" customHeight="1" spans="1:28">
      <c r="A8" s="38" t="s">
        <v>70</v>
      </c>
      <c r="B8" s="38" t="s">
        <v>71</v>
      </c>
      <c r="C8" s="39">
        <v>36.1839</v>
      </c>
      <c r="D8" s="40">
        <v>28.25</v>
      </c>
      <c r="E8" s="41">
        <f t="shared" si="0"/>
        <v>0.780733972844276</v>
      </c>
      <c r="F8" s="42">
        <f t="shared" si="1"/>
        <v>11.7110095926641</v>
      </c>
      <c r="G8" s="43">
        <v>1432</v>
      </c>
      <c r="H8" s="43">
        <v>1405</v>
      </c>
      <c r="I8" s="40">
        <v>1405</v>
      </c>
      <c r="J8" s="41">
        <v>1.0001</v>
      </c>
      <c r="K8" s="42">
        <v>15</v>
      </c>
      <c r="L8" s="44">
        <v>55</v>
      </c>
      <c r="M8" s="42">
        <v>3</v>
      </c>
      <c r="N8" s="44">
        <v>58.73</v>
      </c>
      <c r="O8" s="42">
        <v>3</v>
      </c>
      <c r="P8" s="45">
        <v>62</v>
      </c>
      <c r="Q8" s="45">
        <v>7</v>
      </c>
      <c r="R8" s="46">
        <v>0.113</v>
      </c>
      <c r="S8" s="42">
        <v>3.75</v>
      </c>
      <c r="T8" s="47">
        <v>4.93</v>
      </c>
      <c r="U8" s="47">
        <v>4.01</v>
      </c>
      <c r="V8" s="47">
        <v>3.43</v>
      </c>
      <c r="W8" s="48">
        <v>10</v>
      </c>
      <c r="X8" s="49">
        <v>10</v>
      </c>
      <c r="Y8" s="49">
        <v>8</v>
      </c>
      <c r="Z8" s="49">
        <v>6.12</v>
      </c>
      <c r="AA8" s="42">
        <f t="shared" si="2"/>
        <v>82.9510095926641</v>
      </c>
      <c r="AB8" s="50">
        <f t="shared" si="3"/>
        <v>7</v>
      </c>
    </row>
    <row r="9" ht="22" customHeight="1" spans="1:28">
      <c r="A9" s="38" t="s">
        <v>72</v>
      </c>
      <c r="B9" s="38" t="s">
        <v>73</v>
      </c>
      <c r="C9" s="39">
        <v>11.1034</v>
      </c>
      <c r="D9" s="40">
        <v>10.76</v>
      </c>
      <c r="E9" s="41">
        <f t="shared" si="0"/>
        <v>0.96907253634022</v>
      </c>
      <c r="F9" s="42">
        <f t="shared" si="1"/>
        <v>14.5360880451033</v>
      </c>
      <c r="G9" s="43">
        <v>494</v>
      </c>
      <c r="H9" s="43">
        <v>485</v>
      </c>
      <c r="I9" s="40">
        <v>481</v>
      </c>
      <c r="J9" s="41">
        <v>0.9925</v>
      </c>
      <c r="K9" s="42">
        <v>11.27</v>
      </c>
      <c r="L9" s="44">
        <v>83.86</v>
      </c>
      <c r="M9" s="42">
        <v>5</v>
      </c>
      <c r="N9" s="44">
        <v>77.57</v>
      </c>
      <c r="O9" s="42">
        <v>5</v>
      </c>
      <c r="P9" s="45">
        <v>1</v>
      </c>
      <c r="Q9" s="45">
        <v>0</v>
      </c>
      <c r="R9" s="46">
        <v>0</v>
      </c>
      <c r="S9" s="42">
        <v>3.25</v>
      </c>
      <c r="T9" s="47">
        <v>4.33</v>
      </c>
      <c r="U9" s="47">
        <v>4.33</v>
      </c>
      <c r="V9" s="47">
        <v>3</v>
      </c>
      <c r="W9" s="48">
        <v>10</v>
      </c>
      <c r="X9" s="49">
        <v>10</v>
      </c>
      <c r="Y9" s="49">
        <v>10</v>
      </c>
      <c r="Z9" s="49">
        <v>1.03</v>
      </c>
      <c r="AA9" s="42">
        <f t="shared" si="2"/>
        <v>81.7460880451033</v>
      </c>
      <c r="AB9" s="50">
        <f t="shared" si="3"/>
        <v>9</v>
      </c>
    </row>
    <row r="10" ht="22" customHeight="1" spans="1:28">
      <c r="A10" s="38" t="s">
        <v>74</v>
      </c>
      <c r="B10" s="38" t="s">
        <v>75</v>
      </c>
      <c r="C10" s="39">
        <v>10.5678</v>
      </c>
      <c r="D10" s="40">
        <v>8.47</v>
      </c>
      <c r="E10" s="41">
        <f t="shared" si="0"/>
        <v>0.80149132269725</v>
      </c>
      <c r="F10" s="42">
        <f t="shared" si="1"/>
        <v>12.0223698404588</v>
      </c>
      <c r="G10" s="43">
        <v>511</v>
      </c>
      <c r="H10" s="43">
        <v>501</v>
      </c>
      <c r="I10" s="40">
        <v>503</v>
      </c>
      <c r="J10" s="41">
        <v>1.0034</v>
      </c>
      <c r="K10" s="42">
        <v>15</v>
      </c>
      <c r="L10" s="44">
        <v>61.15</v>
      </c>
      <c r="M10" s="42">
        <v>4</v>
      </c>
      <c r="N10" s="44">
        <v>44.01</v>
      </c>
      <c r="O10" s="42">
        <v>2</v>
      </c>
      <c r="P10" s="45">
        <v>20</v>
      </c>
      <c r="Q10" s="45">
        <v>-1</v>
      </c>
      <c r="R10" s="46">
        <v>-0.05</v>
      </c>
      <c r="S10" s="42">
        <v>3</v>
      </c>
      <c r="T10" s="47">
        <v>4.74</v>
      </c>
      <c r="U10" s="47">
        <v>3.51</v>
      </c>
      <c r="V10" s="47">
        <v>3.57</v>
      </c>
      <c r="W10" s="48">
        <v>10</v>
      </c>
      <c r="X10" s="49">
        <v>10</v>
      </c>
      <c r="Y10" s="49">
        <v>10</v>
      </c>
      <c r="Z10" s="49">
        <v>4.95</v>
      </c>
      <c r="AA10" s="42">
        <f t="shared" si="2"/>
        <v>82.7923698404588</v>
      </c>
      <c r="AB10" s="50">
        <f t="shared" si="3"/>
        <v>8</v>
      </c>
    </row>
    <row r="11" ht="22" customHeight="1" spans="1:28">
      <c r="A11" s="38" t="s">
        <v>76</v>
      </c>
      <c r="B11" s="38" t="s">
        <v>77</v>
      </c>
      <c r="C11" s="39">
        <v>44.0428</v>
      </c>
      <c r="D11" s="40">
        <v>47.48</v>
      </c>
      <c r="E11" s="41">
        <f t="shared" si="0"/>
        <v>1.0780422679757</v>
      </c>
      <c r="F11" s="42">
        <f t="shared" si="1"/>
        <v>15</v>
      </c>
      <c r="G11" s="43">
        <v>2042</v>
      </c>
      <c r="H11" s="43">
        <v>2003</v>
      </c>
      <c r="I11" s="40">
        <v>2001</v>
      </c>
      <c r="J11" s="41">
        <v>0.9989</v>
      </c>
      <c r="K11" s="42">
        <v>14.45</v>
      </c>
      <c r="L11" s="44">
        <v>59.51</v>
      </c>
      <c r="M11" s="42">
        <v>6.5</v>
      </c>
      <c r="N11" s="44">
        <v>43.27</v>
      </c>
      <c r="O11" s="42">
        <v>4.5</v>
      </c>
      <c r="P11" s="45"/>
      <c r="Q11" s="45"/>
      <c r="R11" s="46"/>
      <c r="S11" s="42"/>
      <c r="T11" s="47">
        <v>3.24</v>
      </c>
      <c r="U11" s="47">
        <v>4.55</v>
      </c>
      <c r="V11" s="47">
        <v>3.44</v>
      </c>
      <c r="W11" s="48">
        <v>10</v>
      </c>
      <c r="X11" s="49">
        <v>10</v>
      </c>
      <c r="Y11" s="49">
        <v>10</v>
      </c>
      <c r="Z11" s="49">
        <v>1.44</v>
      </c>
      <c r="AA11" s="42">
        <f t="shared" si="2"/>
        <v>83.12</v>
      </c>
      <c r="AB11" s="50">
        <f t="shared" si="3"/>
        <v>6</v>
      </c>
    </row>
    <row r="12" s="30" customFormat="1" ht="22" customHeight="1" spans="1:28">
      <c r="A12" s="51" t="s">
        <v>78</v>
      </c>
      <c r="B12" s="51" t="s">
        <v>79</v>
      </c>
      <c r="C12" s="52">
        <v>34.3299</v>
      </c>
      <c r="D12" s="53">
        <v>45.63</v>
      </c>
      <c r="E12" s="54">
        <f t="shared" si="0"/>
        <v>1.32916204241783</v>
      </c>
      <c r="F12" s="55">
        <f t="shared" si="1"/>
        <v>15</v>
      </c>
      <c r="G12" s="56">
        <v>1569</v>
      </c>
      <c r="H12" s="56">
        <v>1539</v>
      </c>
      <c r="I12" s="53">
        <v>1526</v>
      </c>
      <c r="J12" s="54">
        <v>0.9914</v>
      </c>
      <c r="K12" s="55">
        <v>10.72</v>
      </c>
      <c r="L12" s="57">
        <v>69.84</v>
      </c>
      <c r="M12" s="55">
        <v>5</v>
      </c>
      <c r="N12" s="57">
        <v>70.98</v>
      </c>
      <c r="O12" s="55">
        <v>5</v>
      </c>
      <c r="P12" s="58">
        <v>6</v>
      </c>
      <c r="Q12" s="58">
        <v>5</v>
      </c>
      <c r="R12" s="59">
        <v>0.833</v>
      </c>
      <c r="S12" s="55">
        <v>5</v>
      </c>
      <c r="T12" s="60">
        <v>3.99</v>
      </c>
      <c r="U12" s="60">
        <v>4.25</v>
      </c>
      <c r="V12" s="60">
        <v>3.15</v>
      </c>
      <c r="W12" s="61">
        <v>10</v>
      </c>
      <c r="X12" s="62">
        <v>10</v>
      </c>
      <c r="Y12" s="62">
        <v>8</v>
      </c>
      <c r="Z12" s="62">
        <v>4.98</v>
      </c>
      <c r="AA12" s="55">
        <f t="shared" si="2"/>
        <v>85.09</v>
      </c>
      <c r="AB12" s="63">
        <f t="shared" si="3"/>
        <v>3</v>
      </c>
    </row>
    <row r="13" ht="22" customHeight="1" spans="1:28">
      <c r="A13" s="38" t="s">
        <v>80</v>
      </c>
      <c r="B13" s="64" t="s">
        <v>36</v>
      </c>
      <c r="C13" s="64">
        <v>399.7842</v>
      </c>
      <c r="D13" s="64">
        <v>371.32</v>
      </c>
      <c r="E13" s="65">
        <f t="shared" si="0"/>
        <v>0.928801088187077</v>
      </c>
      <c r="F13" s="64">
        <f t="shared" si="1"/>
        <v>13.9320163228062</v>
      </c>
      <c r="G13" s="64">
        <v>17037</v>
      </c>
      <c r="H13" s="64">
        <v>16713</v>
      </c>
      <c r="I13" s="64">
        <v>16656</v>
      </c>
      <c r="J13" s="64">
        <v>0.9966</v>
      </c>
      <c r="K13" s="64">
        <v>13.29</v>
      </c>
      <c r="L13" s="64">
        <v>70.13</v>
      </c>
      <c r="M13" s="64">
        <f>AVERAGEA(M3:M12)</f>
        <v>4.65</v>
      </c>
      <c r="N13" s="64">
        <v>61.09</v>
      </c>
      <c r="O13" s="64">
        <f>AVERAGEA(O3:O12)</f>
        <v>3.85</v>
      </c>
      <c r="P13" s="64">
        <v>456</v>
      </c>
      <c r="Q13" s="64">
        <v>85</v>
      </c>
      <c r="R13" s="65">
        <v>0.186</v>
      </c>
      <c r="S13" s="64">
        <f>AVERAGEA(S3:S12)</f>
        <v>4</v>
      </c>
      <c r="T13" s="64">
        <f>AVERAGEA(T3:T12)</f>
        <v>4.349</v>
      </c>
      <c r="U13" s="64">
        <f>AVERAGEA(U3:U12)</f>
        <v>4.18</v>
      </c>
      <c r="V13" s="64">
        <f>AVERAGEA(V3:V12)</f>
        <v>3.767</v>
      </c>
      <c r="W13" s="64">
        <v>10</v>
      </c>
      <c r="X13" s="64">
        <v>10</v>
      </c>
      <c r="Y13" s="64">
        <v>10</v>
      </c>
      <c r="Z13" s="64">
        <v>10</v>
      </c>
      <c r="AA13" s="66">
        <f t="shared" si="2"/>
        <v>92.0180163228062</v>
      </c>
      <c r="AB13" s="50"/>
    </row>
    <row r="14" customHeight="1" spans="1:28">
      <c r="E14" s="67"/>
      <c r="F14" s="68"/>
      <c r="J14" s="67"/>
      <c r="K14" s="69"/>
    </row>
    <row r="15" customHeight="1" spans="1:28">
      <c r="B15" s="26" t="s">
        <v>46</v>
      </c>
      <c r="C15" s="26" t="s">
        <v>81</v>
      </c>
      <c r="D15" s="26" t="s">
        <v>52</v>
      </c>
      <c r="E15" s="26" t="s">
        <v>56</v>
      </c>
      <c r="K15" s="70"/>
    </row>
    <row r="16" ht="52" customHeight="1" spans="1:28">
      <c r="B16" s="27" t="s">
        <v>39</v>
      </c>
      <c r="C16" s="28" t="s">
        <v>40</v>
      </c>
      <c r="D16" s="27">
        <v>3</v>
      </c>
      <c r="E16" s="27">
        <v>100</v>
      </c>
      <c r="G16" s="71"/>
    </row>
    <row r="17" ht="54.75" customHeight="1" spans="2:5">
      <c r="B17" s="27" t="s">
        <v>42</v>
      </c>
      <c r="C17" s="28" t="s">
        <v>43</v>
      </c>
      <c r="D17" s="27">
        <v>7</v>
      </c>
      <c r="E17" s="27">
        <v>80</v>
      </c>
    </row>
  </sheetData>
  <mergeCells count="11">
    <mergeCell ref="C1:F1"/>
    <mergeCell ref="G1:K1"/>
    <mergeCell ref="L1:M1"/>
    <mergeCell ref="N1:O1"/>
    <mergeCell ref="P1:S1"/>
    <mergeCell ref="T1:V1"/>
    <mergeCell ref="W1:Z1"/>
    <mergeCell ref="A1:A2"/>
    <mergeCell ref="B1:B2"/>
    <mergeCell ref="AA1:AA2"/>
    <mergeCell ref="AB1:AB2"/>
  </mergeCells>
  <conditionalFormatting sqref="F3:F12">
    <cfRule type="top10" dxfId="0" priority="12" rank="3"/>
    <cfRule type="top10" dxfId="1" priority="11" bottom="1" rank="3"/>
  </conditionalFormatting>
  <conditionalFormatting sqref="K3:K12">
    <cfRule type="top10" dxfId="0" priority="10" rank="3"/>
    <cfRule type="top10" dxfId="1" priority="9" bottom="1" rank="3"/>
  </conditionalFormatting>
  <conditionalFormatting sqref="M3:M12">
    <cfRule type="top10" dxfId="0" priority="8" rank="3"/>
    <cfRule type="top10" dxfId="1" priority="7" bottom="1" rank="3"/>
  </conditionalFormatting>
  <conditionalFormatting sqref="O3:O12">
    <cfRule type="top10" dxfId="0" priority="6" rank="3"/>
    <cfRule type="top10" dxfId="1" priority="5" bottom="1" rank="3"/>
  </conditionalFormatting>
  <conditionalFormatting sqref="S3:S12">
    <cfRule type="top10" dxfId="0" priority="4" rank="3"/>
    <cfRule type="top10" dxfId="1" priority="3" bottom="1" rank="3"/>
  </conditionalFormatting>
  <conditionalFormatting sqref="AA3:AA12">
    <cfRule type="top10" dxfId="0" priority="2" rank="3"/>
    <cfRule type="top10" dxfId="1" priority="1" bottom="1" rank="3"/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6"/>
  <sheetViews>
    <sheetView workbookViewId="0">
      <selection activeCell="A1" sqref="A1:E1"/>
    </sheetView>
  </sheetViews>
  <sheetFormatPr defaultColWidth="7.33333333333333" defaultRowHeight="14.25" customHeight="1" outlineLevelCol="4"/>
  <cols>
    <col min="1" max="1" width="26.6666666666667" style="22" customWidth="1"/>
    <col min="2" max="2" width="38.3333333333333" style="22" customWidth="1"/>
    <col min="3" max="3" width="34.8333333333333" style="22" customWidth="1"/>
    <col min="4" max="4" width="44.8333333333333" style="22" customWidth="1"/>
    <col min="5" max="5" width="13.5" style="22" customWidth="1"/>
    <col min="6" max="9" width="7.33333333333333" style="22"/>
    <col min="10" max="10" width="20.8333333333333" style="22" customWidth="1"/>
    <col min="11" max="11" width="25.1666666666667" style="22" customWidth="1"/>
    <col min="12" max="12" width="10" style="22" customWidth="1"/>
    <col min="13" max="13" width="37.1666666666667" style="22" customWidth="1"/>
    <col min="14" max="40" width="7.33333333333333" style="22"/>
  </cols>
  <sheetData>
    <row r="1" s="22" customFormat="1" ht="37" customHeight="1" spans="1:5">
      <c r="A1" s="23" t="s">
        <v>82</v>
      </c>
      <c r="B1" s="23"/>
      <c r="C1" s="23"/>
      <c r="D1" s="23"/>
      <c r="E1" s="23"/>
    </row>
    <row r="2" s="22" customFormat="1" ht="27" customHeight="1" spans="1:5">
      <c r="A2" s="24" t="s">
        <v>2</v>
      </c>
      <c r="B2" s="24" t="s">
        <v>81</v>
      </c>
      <c r="C2" s="24" t="s">
        <v>83</v>
      </c>
      <c r="D2" s="24" t="s">
        <v>84</v>
      </c>
      <c r="E2" s="24" t="s">
        <v>85</v>
      </c>
    </row>
    <row r="3" s="22" customFormat="1" ht="40" customHeight="1" spans="1:5">
      <c r="A3" s="25" t="s">
        <v>86</v>
      </c>
      <c r="B3" s="24" t="s">
        <v>87</v>
      </c>
      <c r="C3" s="24">
        <v>15</v>
      </c>
      <c r="D3" s="25" t="s">
        <v>88</v>
      </c>
      <c r="E3" s="25" t="s">
        <v>89</v>
      </c>
    </row>
    <row r="4" s="22" customFormat="1" ht="46" customHeight="1" spans="1:5">
      <c r="A4" s="25"/>
      <c r="B4" s="24" t="s">
        <v>90</v>
      </c>
      <c r="C4" s="24">
        <v>15</v>
      </c>
      <c r="D4" s="25"/>
      <c r="E4" s="25"/>
    </row>
    <row r="5" s="22" customFormat="1" ht="46" customHeight="1" spans="1:5">
      <c r="A5" s="25"/>
      <c r="B5" s="24" t="s">
        <v>91</v>
      </c>
      <c r="C5" s="24">
        <v>10</v>
      </c>
      <c r="D5" s="24" t="s">
        <v>92</v>
      </c>
      <c r="E5" s="25"/>
    </row>
    <row r="6" s="22" customFormat="1" ht="41" customHeight="1" spans="1:5">
      <c r="A6" s="25"/>
      <c r="B6" s="24" t="s">
        <v>93</v>
      </c>
      <c r="C6" s="24">
        <v>10</v>
      </c>
      <c r="D6" s="24" t="s">
        <v>94</v>
      </c>
      <c r="E6" s="25"/>
    </row>
    <row r="7" s="22" customFormat="1" ht="96" customHeight="1" spans="1:5">
      <c r="A7" s="25" t="s">
        <v>95</v>
      </c>
      <c r="B7" s="24" t="s">
        <v>96</v>
      </c>
      <c r="C7" s="24">
        <v>50</v>
      </c>
      <c r="D7" s="25" t="s">
        <v>97</v>
      </c>
      <c r="E7" s="25"/>
    </row>
    <row r="8" customHeight="1" spans="1:5">
      <c r="A8" s="24" t="s">
        <v>36</v>
      </c>
      <c r="B8" s="24"/>
      <c r="C8" s="24">
        <f>SUM(C3:C7)</f>
        <v>100</v>
      </c>
      <c r="D8" s="24"/>
      <c r="E8" s="24"/>
    </row>
    <row r="10" ht="21" customHeight="1" spans="1:5">
      <c r="A10" s="26" t="s">
        <v>98</v>
      </c>
      <c r="B10" s="26"/>
      <c r="C10" s="26"/>
      <c r="D10" s="26"/>
    </row>
    <row r="11" ht="28" customHeight="1" spans="1:5">
      <c r="A11" s="27" t="s">
        <v>38</v>
      </c>
      <c r="B11" s="27" t="s">
        <v>3</v>
      </c>
      <c r="C11" s="27" t="s">
        <v>4</v>
      </c>
      <c r="D11" s="27" t="s">
        <v>5</v>
      </c>
    </row>
    <row r="12" ht="106" customHeight="1" spans="1:5">
      <c r="A12" s="28" t="s">
        <v>99</v>
      </c>
      <c r="B12" s="27" t="s">
        <v>96</v>
      </c>
      <c r="C12" s="28" t="s">
        <v>97</v>
      </c>
      <c r="D12" s="27">
        <v>100</v>
      </c>
    </row>
    <row r="16" s="22" customFormat="1" ht="16" customHeight="1"/>
  </sheetData>
  <mergeCells count="5">
    <mergeCell ref="A1:E1"/>
    <mergeCell ref="A10:D10"/>
    <mergeCell ref="A3:A6"/>
    <mergeCell ref="D3:D4"/>
    <mergeCell ref="E3:E7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21"/>
  <sheetViews>
    <sheetView workbookViewId="0">
      <selection activeCell="A1" sqref="A1:D1"/>
    </sheetView>
  </sheetViews>
  <sheetFormatPr defaultColWidth="9" defaultRowHeight="13.5" customHeight="1" outlineLevelCol="3"/>
  <cols>
    <col min="1" max="1" width="15" style="12" customWidth="1"/>
    <col min="2" max="2" width="34.8333333333333" style="12" customWidth="1"/>
    <col min="3" max="3" width="77.3333333333333" style="12" customWidth="1"/>
    <col min="4" max="4" width="14.1666666666667" style="12" customWidth="1"/>
    <col min="5" max="40" width="9" style="1"/>
  </cols>
  <sheetData>
    <row r="1" ht="31" customHeight="1" spans="1:4">
      <c r="A1" s="13" t="s">
        <v>100</v>
      </c>
      <c r="B1" s="13"/>
      <c r="C1" s="13"/>
      <c r="D1" s="13"/>
    </row>
    <row r="2" s="1" customFormat="1" ht="40" customHeight="1" spans="1:4">
      <c r="A2" s="14" t="s">
        <v>1</v>
      </c>
      <c r="B2" s="14"/>
      <c r="C2" s="14"/>
      <c r="D2" s="14"/>
    </row>
    <row r="3" s="1" customFormat="1" ht="31" customHeight="1" spans="1:4">
      <c r="A3" s="15" t="s">
        <v>2</v>
      </c>
      <c r="B3" s="15" t="s">
        <v>3</v>
      </c>
      <c r="C3" s="15" t="s">
        <v>4</v>
      </c>
      <c r="D3" s="15" t="s">
        <v>5</v>
      </c>
    </row>
    <row r="4" s="1" customFormat="1" ht="33" customHeight="1" spans="1:4">
      <c r="A4" s="15" t="s">
        <v>101</v>
      </c>
      <c r="B4" s="15" t="s">
        <v>102</v>
      </c>
      <c r="C4" s="15" t="s">
        <v>103</v>
      </c>
      <c r="D4" s="15">
        <v>10</v>
      </c>
    </row>
    <row r="5" s="1" customFormat="1" ht="49.5" customHeight="1" spans="1:4">
      <c r="A5" s="15"/>
      <c r="B5" s="15" t="s">
        <v>104</v>
      </c>
      <c r="C5" s="15" t="s">
        <v>105</v>
      </c>
      <c r="D5" s="15">
        <v>10</v>
      </c>
    </row>
    <row r="6" s="1" customFormat="1" ht="32" customHeight="1" spans="1:4">
      <c r="A6" s="15"/>
      <c r="B6" s="15" t="s">
        <v>106</v>
      </c>
      <c r="C6" s="15" t="s">
        <v>107</v>
      </c>
      <c r="D6" s="15">
        <v>10</v>
      </c>
    </row>
    <row r="7" s="1" customFormat="1" ht="162" customHeight="1" spans="1:4">
      <c r="A7" s="15"/>
      <c r="B7" s="15" t="s">
        <v>108</v>
      </c>
      <c r="C7" s="15" t="s">
        <v>109</v>
      </c>
      <c r="D7" s="16">
        <v>10</v>
      </c>
    </row>
    <row r="8" s="1" customFormat="1" ht="46.5" customHeight="1" spans="1:4">
      <c r="A8" s="15" t="s">
        <v>110</v>
      </c>
      <c r="B8" s="15" t="s">
        <v>111</v>
      </c>
      <c r="C8" s="17" t="s">
        <v>112</v>
      </c>
      <c r="D8" s="15">
        <v>20</v>
      </c>
    </row>
    <row r="9" s="1" customFormat="1" ht="121" customHeight="1" spans="1:4">
      <c r="A9" s="15"/>
      <c r="B9" s="15" t="s">
        <v>113</v>
      </c>
      <c r="C9" s="15" t="s">
        <v>114</v>
      </c>
      <c r="D9" s="18">
        <v>10</v>
      </c>
    </row>
    <row r="10" s="1" customFormat="1" ht="58" customHeight="1" spans="1:4">
      <c r="A10" s="15" t="s">
        <v>115</v>
      </c>
      <c r="B10" s="15" t="s">
        <v>116</v>
      </c>
      <c r="C10" s="15" t="s">
        <v>117</v>
      </c>
      <c r="D10" s="15">
        <v>10</v>
      </c>
    </row>
    <row r="11" s="1" customFormat="1" ht="43" customHeight="1" spans="1:4">
      <c r="A11" s="15"/>
      <c r="B11" s="15" t="s">
        <v>118</v>
      </c>
      <c r="C11" s="15" t="s">
        <v>119</v>
      </c>
      <c r="D11" s="15">
        <v>10</v>
      </c>
    </row>
    <row r="12" s="1" customFormat="1" ht="41" customHeight="1" spans="1:4">
      <c r="A12" s="15"/>
      <c r="B12" s="15" t="s">
        <v>120</v>
      </c>
      <c r="C12" s="15" t="s">
        <v>121</v>
      </c>
      <c r="D12" s="15">
        <v>10</v>
      </c>
    </row>
    <row r="13" s="1" customFormat="1" ht="31" customHeight="1" spans="1:4">
      <c r="A13" s="19" t="s">
        <v>36</v>
      </c>
      <c r="B13" s="20"/>
      <c r="C13" s="20"/>
      <c r="D13" s="19">
        <f>SUM(D4:D12)</f>
        <v>100</v>
      </c>
    </row>
    <row r="17" s="1" customFormat="1" ht="42" customHeight="1" spans="1:4">
      <c r="A17" s="21" t="s">
        <v>122</v>
      </c>
      <c r="B17" s="21"/>
      <c r="C17" s="21"/>
      <c r="D17" s="21"/>
    </row>
    <row r="18" s="1" customFormat="1" ht="28" customHeight="1" spans="1:4">
      <c r="A18" s="19" t="s">
        <v>38</v>
      </c>
      <c r="B18" s="19" t="s">
        <v>3</v>
      </c>
      <c r="C18" s="19" t="s">
        <v>4</v>
      </c>
      <c r="D18" s="19" t="s">
        <v>5</v>
      </c>
    </row>
    <row r="19" s="1" customFormat="1" ht="28" customHeight="1" spans="1:4">
      <c r="A19" s="19" t="s">
        <v>123</v>
      </c>
      <c r="B19" s="19" t="s">
        <v>124</v>
      </c>
      <c r="C19" s="19" t="s">
        <v>125</v>
      </c>
      <c r="D19" s="19">
        <v>100</v>
      </c>
    </row>
    <row r="20" s="1" customFormat="1" ht="28" customHeight="1" spans="1:4">
      <c r="A20" s="19" t="s">
        <v>126</v>
      </c>
      <c r="B20" s="19" t="s">
        <v>127</v>
      </c>
      <c r="C20" s="19" t="s">
        <v>128</v>
      </c>
      <c r="D20" s="19">
        <v>100</v>
      </c>
    </row>
    <row r="21" s="1" customFormat="1" ht="28" customHeight="1" spans="1:4">
      <c r="A21" s="19" t="s">
        <v>129</v>
      </c>
      <c r="B21" s="19" t="s">
        <v>127</v>
      </c>
      <c r="C21" s="19" t="s">
        <v>128</v>
      </c>
      <c r="D21" s="19">
        <v>100</v>
      </c>
    </row>
  </sheetData>
  <mergeCells count="6">
    <mergeCell ref="A1:D1"/>
    <mergeCell ref="A2:D2"/>
    <mergeCell ref="A17:D17"/>
    <mergeCell ref="A4:A7"/>
    <mergeCell ref="A8:A9"/>
    <mergeCell ref="A10:A1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4"/>
  <sheetViews>
    <sheetView workbookViewId="0">
      <selection activeCell="A1" sqref="A1:D1"/>
    </sheetView>
  </sheetViews>
  <sheetFormatPr defaultColWidth="9" defaultRowHeight="15.75" customHeight="1" outlineLevelCol="3"/>
  <cols>
    <col min="1" max="1" width="62.6666666666667" style="1" customWidth="1"/>
    <col min="2" max="2" width="37.8333333333333" style="1" customWidth="1"/>
    <col min="3" max="3" width="34.6666666666667" style="1" customWidth="1"/>
    <col min="4" max="4" width="24.1666666666667" style="1" customWidth="1"/>
  </cols>
  <sheetData>
    <row r="1" ht="32" customHeight="1" spans="1:4">
      <c r="A1" s="2" t="s">
        <v>130</v>
      </c>
      <c r="B1" s="2"/>
      <c r="C1" s="2"/>
      <c r="D1" s="2"/>
    </row>
    <row r="2" ht="23" customHeight="1" spans="1:4">
      <c r="A2" s="3" t="s">
        <v>131</v>
      </c>
      <c r="B2" s="4"/>
      <c r="C2" s="4"/>
      <c r="D2" s="5"/>
    </row>
    <row r="3" ht="26" customHeight="1" spans="1:4">
      <c r="A3" s="6" t="s">
        <v>2</v>
      </c>
      <c r="B3" s="6" t="s">
        <v>3</v>
      </c>
      <c r="C3" s="6" t="s">
        <v>4</v>
      </c>
      <c r="D3" s="6" t="s">
        <v>5</v>
      </c>
    </row>
    <row r="4" ht="47" customHeight="1" spans="1:4">
      <c r="A4" s="7" t="s">
        <v>132</v>
      </c>
      <c r="B4" s="7" t="s">
        <v>133</v>
      </c>
      <c r="C4" s="8" t="s">
        <v>134</v>
      </c>
      <c r="D4" s="7">
        <v>20</v>
      </c>
    </row>
    <row r="5" ht="44" customHeight="1" spans="1:4">
      <c r="A5" s="7" t="s">
        <v>135</v>
      </c>
      <c r="B5" s="7" t="s">
        <v>136</v>
      </c>
      <c r="C5" s="7" t="s">
        <v>137</v>
      </c>
      <c r="D5" s="7">
        <v>20</v>
      </c>
    </row>
    <row r="6" ht="60" customHeight="1" spans="1:4">
      <c r="A6" s="7" t="s">
        <v>138</v>
      </c>
      <c r="B6" s="8" t="s">
        <v>139</v>
      </c>
      <c r="C6" s="7" t="s">
        <v>140</v>
      </c>
      <c r="D6" s="7">
        <v>20</v>
      </c>
    </row>
    <row r="7" ht="50" customHeight="1" spans="1:4">
      <c r="A7" s="7" t="s">
        <v>141</v>
      </c>
      <c r="B7" s="8" t="s">
        <v>142</v>
      </c>
      <c r="C7" s="8" t="s">
        <v>143</v>
      </c>
      <c r="D7" s="7">
        <v>20</v>
      </c>
    </row>
    <row r="8" ht="55" customHeight="1" spans="1:4">
      <c r="A8" s="7" t="s">
        <v>144</v>
      </c>
      <c r="B8" s="8" t="s">
        <v>145</v>
      </c>
      <c r="C8" s="8" t="s">
        <v>146</v>
      </c>
      <c r="D8" s="7">
        <v>20</v>
      </c>
    </row>
    <row r="9" ht="28" customHeight="1" spans="1:4">
      <c r="A9" s="7" t="s">
        <v>36</v>
      </c>
      <c r="B9" s="8"/>
      <c r="C9" s="9"/>
      <c r="D9" s="7">
        <v>100</v>
      </c>
    </row>
    <row r="12" ht="26" customHeight="1" spans="1:4">
      <c r="A12" s="2" t="s">
        <v>147</v>
      </c>
    </row>
    <row r="13" ht="27" customHeight="1" spans="1:4">
      <c r="A13" s="10" t="s">
        <v>148</v>
      </c>
    </row>
    <row r="14" ht="27" customHeight="1" spans="1:4">
      <c r="A14" s="11" t="s">
        <v>136</v>
      </c>
    </row>
  </sheetData>
  <mergeCells count="2">
    <mergeCell ref="A1:D1"/>
    <mergeCell ref="A2:D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市场线</vt:lpstr>
      <vt:lpstr>一季度考核结果</vt:lpstr>
      <vt:lpstr>政企线</vt:lpstr>
      <vt:lpstr>网络线</vt:lpstr>
      <vt:lpstr>职能线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 </cp:lastModifiedBy>
  <dcterms:created xsi:type="dcterms:W3CDTF">2006-09-16T00:00:00Z</dcterms:created>
  <dcterms:modified xsi:type="dcterms:W3CDTF">2026-06-20T11:07:23Z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C0EADCA2A6E3436A9E170877D3122C7D_12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