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activeTab="2"/>
  </bookViews>
  <sheets>
    <sheet name="市场线" sheetId="1" r:id="rId1"/>
    <sheet name="政企线" sheetId="2" r:id="rId2"/>
    <sheet name="网络线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<sst xmlns="http://schemas.openxmlformats.org/spreadsheetml/2006/main" count="216" uniqueCount="108">
  <si>
    <t>单位</t>
  </si>
  <si>
    <t>移宽增量收入</t>
  </si>
  <si>
    <t>移宽存量收入</t>
  </si>
  <si>
    <t>社区市场
（解放7.5分）</t>
  </si>
  <si>
    <t>商户市场
（解放7.5分）</t>
  </si>
  <si>
    <t>农村市场（解放不考核）</t>
  </si>
  <si>
    <t>铁军达标</t>
  </si>
  <si>
    <t>客户服务</t>
  </si>
  <si>
    <t>合计</t>
  </si>
  <si>
    <t>排名</t>
  </si>
  <si>
    <t>目标</t>
  </si>
  <si>
    <t>完成值</t>
  </si>
  <si>
    <t>完成率</t>
  </si>
  <si>
    <t>得分</t>
  </si>
  <si>
    <t>拍照收入</t>
  </si>
  <si>
    <t>综合评价得分</t>
  </si>
  <si>
    <t>份额破局目标</t>
  </si>
  <si>
    <t>营业员</t>
  </si>
  <si>
    <t>渠道经理</t>
  </si>
  <si>
    <t>智家工程师</t>
  </si>
  <si>
    <t>TCSI综合满意度</t>
  </si>
  <si>
    <t>服务工单综合评价</t>
  </si>
  <si>
    <t>工信部来量压降</t>
  </si>
  <si>
    <t>春雷服务工单投诉压降</t>
  </si>
  <si>
    <t>博爱</t>
  </si>
  <si>
    <t>孟州</t>
  </si>
  <si>
    <t>沁阳</t>
  </si>
  <si>
    <t>温县</t>
  </si>
  <si>
    <t>武陟</t>
  </si>
  <si>
    <t>修武</t>
  </si>
  <si>
    <t>中站</t>
  </si>
  <si>
    <t>马村</t>
  </si>
  <si>
    <t>解放</t>
  </si>
  <si>
    <t>山阳</t>
  </si>
  <si>
    <t>市场部</t>
  </si>
  <si>
    <t>客服部</t>
  </si>
  <si>
    <t>分数</t>
  </si>
  <si>
    <t>合计得分</t>
  </si>
  <si>
    <t>大企业市场收入同比增幅（30分）</t>
  </si>
  <si>
    <t>TOP321客户联网收入同比增幅（30分）</t>
  </si>
  <si>
    <t>TOP321客户专线业务渗透率（20分）</t>
  </si>
  <si>
    <t>大企业标杆客户拓展完成率</t>
  </si>
  <si>
    <t>公开市场运营商中标份额</t>
  </si>
  <si>
    <t>同比增幅</t>
  </si>
  <si>
    <t>完成</t>
  </si>
  <si>
    <t>政要</t>
  </si>
  <si>
    <t>政企部</t>
  </si>
  <si>
    <t>企业</t>
  </si>
  <si>
    <t>创新</t>
  </si>
  <si>
    <t>校园</t>
  </si>
  <si>
    <t>-</t>
  </si>
  <si>
    <t>考核维度</t>
  </si>
  <si>
    <t>考核指标</t>
  </si>
  <si>
    <t>网运中心</t>
  </si>
  <si>
    <t>网络部</t>
  </si>
  <si>
    <t>交付中心</t>
  </si>
  <si>
    <t>山马</t>
  </si>
  <si>
    <t>解中</t>
  </si>
  <si>
    <t>田泽方</t>
  </si>
  <si>
    <t>王静波</t>
  </si>
  <si>
    <t>任娟</t>
  </si>
  <si>
    <t>范帅帅</t>
  </si>
  <si>
    <t>陈冠霖</t>
  </si>
  <si>
    <r>
      <t>核心功能（</t>
    </r>
    <r>
      <rPr>
        <sz val="9"/>
        <rFont val="Times New Roman"/>
        <charset val="134"/>
      </rPr>
      <t>45%</t>
    </r>
    <r>
      <rPr>
        <sz val="9"/>
        <rFont val="宋体"/>
        <charset val="134"/>
      </rPr>
      <t>）</t>
    </r>
  </si>
  <si>
    <t>网络运营</t>
  </si>
  <si>
    <r>
      <t>故障管控（</t>
    </r>
    <r>
      <rPr>
        <sz val="9"/>
        <rFont val="Times New Roman"/>
        <charset val="134"/>
      </rPr>
      <t>10</t>
    </r>
    <r>
      <rPr>
        <sz val="9"/>
        <rFont val="宋体"/>
        <charset val="134"/>
      </rPr>
      <t>分）</t>
    </r>
  </si>
  <si>
    <r>
      <t>能力提升（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分）</t>
    </r>
  </si>
  <si>
    <t>网络服务提升</t>
  </si>
  <si>
    <r>
      <t>移动网络满意度（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分）</t>
    </r>
  </si>
  <si>
    <r>
      <t>宽固网络满意度（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分）</t>
    </r>
  </si>
  <si>
    <r>
      <t>智家工程师满意度（</t>
    </r>
    <r>
      <rPr>
        <sz val="9"/>
        <rFont val="Times New Roman"/>
        <charset val="134"/>
      </rPr>
      <t>4</t>
    </r>
    <r>
      <rPr>
        <sz val="9"/>
        <rFont val="宋体"/>
        <charset val="134"/>
      </rPr>
      <t>分）</t>
    </r>
  </si>
  <si>
    <t>网运成本管控</t>
  </si>
  <si>
    <r>
      <t>网络相关成本占收比（</t>
    </r>
    <r>
      <rPr>
        <sz val="9"/>
        <rFont val="Times New Roman"/>
        <charset val="134"/>
      </rPr>
      <t>9</t>
    </r>
    <r>
      <rPr>
        <sz val="9"/>
        <rFont val="宋体"/>
        <charset val="134"/>
      </rPr>
      <t>分）</t>
    </r>
  </si>
  <si>
    <r>
      <t>铁塔差异管控（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分）</t>
    </r>
  </si>
  <si>
    <r>
      <t>能耗成本（</t>
    </r>
    <r>
      <rPr>
        <sz val="9"/>
        <rFont val="Times New Roman"/>
        <charset val="134"/>
      </rPr>
      <t>5</t>
    </r>
    <r>
      <rPr>
        <sz val="9"/>
        <rFont val="宋体"/>
        <charset val="134"/>
      </rPr>
      <t>分）</t>
    </r>
  </si>
  <si>
    <r>
      <t>运营提升</t>
    </r>
    <r>
      <rPr>
        <sz val="9"/>
        <rFont val="Times New Roman"/>
        <charset val="134"/>
      </rPr>
      <t>   ( 55%)</t>
    </r>
  </si>
  <si>
    <r>
      <t>网络质量提升专项行动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工匠行动</t>
    </r>
  </si>
  <si>
    <r>
      <t>工匠行动年度得分排名（</t>
    </r>
    <r>
      <rPr>
        <sz val="9"/>
        <rFont val="Times New Roman"/>
        <charset val="134"/>
      </rPr>
      <t>10</t>
    </r>
    <r>
      <rPr>
        <sz val="9"/>
        <rFont val="宋体"/>
        <charset val="134"/>
      </rPr>
      <t>分）</t>
    </r>
  </si>
  <si>
    <t>/</t>
  </si>
  <si>
    <r>
      <t>网络质量提升专项行动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极简网络</t>
    </r>
  </si>
  <si>
    <r>
      <t>极简网络年度综合评价（</t>
    </r>
    <r>
      <rPr>
        <sz val="9"/>
        <rFont val="Times New Roman"/>
        <charset val="134"/>
      </rPr>
      <t>10</t>
    </r>
    <r>
      <rPr>
        <sz val="9"/>
        <rFont val="宋体"/>
        <charset val="134"/>
      </rPr>
      <t>分）</t>
    </r>
  </si>
  <si>
    <r>
      <t>网络质量提升专项行动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网络运营安全深化年</t>
    </r>
  </si>
  <si>
    <r>
      <t>同路由整治处理（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分）</t>
    </r>
  </si>
  <si>
    <r>
      <t>网络安全事件（</t>
    </r>
    <r>
      <rPr>
        <sz val="9"/>
        <rFont val="Times New Roman"/>
        <charset val="134"/>
      </rPr>
      <t>4</t>
    </r>
    <r>
      <rPr>
        <sz val="9"/>
        <rFont val="宋体"/>
        <charset val="134"/>
      </rPr>
      <t>分）</t>
    </r>
  </si>
  <si>
    <r>
      <t>网络服务提升专项行动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移网质量提升</t>
    </r>
  </si>
  <si>
    <r>
      <t>重点场景提升（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分）</t>
    </r>
  </si>
  <si>
    <r>
      <t>移网问题栅格改善（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分）</t>
    </r>
  </si>
  <si>
    <r>
      <t>业务感知提升（</t>
    </r>
    <r>
      <rPr>
        <sz val="9"/>
        <rFont val="Times New Roman"/>
        <charset val="134"/>
      </rPr>
      <t>4</t>
    </r>
    <r>
      <rPr>
        <sz val="9"/>
        <rFont val="宋体"/>
        <charset val="134"/>
      </rPr>
      <t>分）</t>
    </r>
  </si>
  <si>
    <r>
      <t>移网资源利用率（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分）</t>
    </r>
  </si>
  <si>
    <r>
      <t>网络服务提升专项行动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智家网络服务提升</t>
    </r>
  </si>
  <si>
    <r>
      <t>交付质量提升（</t>
    </r>
    <r>
      <rPr>
        <sz val="9"/>
        <rFont val="Times New Roman"/>
        <charset val="134"/>
      </rPr>
      <t>4</t>
    </r>
    <r>
      <rPr>
        <sz val="9"/>
        <rFont val="宋体"/>
        <charset val="134"/>
      </rPr>
      <t>分）</t>
    </r>
  </si>
  <si>
    <r>
      <t>宽带资源效能提升（</t>
    </r>
    <r>
      <rPr>
        <sz val="9"/>
        <rFont val="Times New Roman"/>
        <charset val="134"/>
      </rPr>
      <t>3</t>
    </r>
    <r>
      <rPr>
        <sz val="9"/>
        <rFont val="宋体"/>
        <charset val="134"/>
      </rPr>
      <t>分）</t>
    </r>
  </si>
  <si>
    <r>
      <t>客户感知提升（</t>
    </r>
    <r>
      <rPr>
        <sz val="9"/>
        <rFont val="Times New Roman"/>
        <charset val="134"/>
      </rPr>
      <t>6</t>
    </r>
    <r>
      <rPr>
        <sz val="9"/>
        <rFont val="宋体"/>
        <charset val="134"/>
      </rPr>
      <t>分）</t>
    </r>
  </si>
  <si>
    <r>
      <t>网络服务提升专项行动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政企双线网络服务提升</t>
    </r>
  </si>
  <si>
    <r>
      <t>政企双线交付及时率（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分）</t>
    </r>
  </si>
  <si>
    <r>
      <t>政企双线故障管控（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分）</t>
    </r>
  </si>
  <si>
    <r>
      <t>政企双线资源治理（</t>
    </r>
    <r>
      <rPr>
        <sz val="9"/>
        <rFont val="Times New Roman"/>
        <charset val="134"/>
      </rPr>
      <t>2</t>
    </r>
    <r>
      <rPr>
        <sz val="9"/>
        <rFont val="宋体"/>
        <charset val="134"/>
      </rPr>
      <t>分）</t>
    </r>
  </si>
  <si>
    <t>端网业协同</t>
  </si>
  <si>
    <r>
      <t>5G</t>
    </r>
    <r>
      <rPr>
        <sz val="10"/>
        <rFont val="宋体"/>
        <charset val="134"/>
      </rPr>
      <t>登网率</t>
    </r>
  </si>
  <si>
    <t>千兆化</t>
  </si>
  <si>
    <r>
      <t>公司</t>
    </r>
    <r>
      <rPr>
        <sz val="10"/>
        <rFont val="Times New Roman"/>
        <charset val="134"/>
      </rPr>
      <t>KPI</t>
    </r>
    <r>
      <rPr>
        <sz val="10"/>
        <rFont val="宋体"/>
        <charset val="134"/>
      </rPr>
      <t>保障</t>
    </r>
  </si>
  <si>
    <r>
      <t>科技创新（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分）</t>
    </r>
  </si>
  <si>
    <t>反诈治理</t>
  </si>
  <si>
    <t>县区KPI排名</t>
  </si>
  <si>
    <t>约束事项</t>
  </si>
  <si>
    <t>正负项激励</t>
  </si>
  <si>
    <t>原始分</t>
  </si>
  <si>
    <t>换算后总分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</si>
</sst>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  <numFmt numFmtId="177" formatCode="0.00_ "/>
    <numFmt numFmtId="178" formatCode="0_ "/>
    <numFmt numFmtId="179" formatCode="0.0%"/>
  </numFmts>
  <fonts count="4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Times New Roman"/>
      <charset val="134"/>
    </font>
    <font>
      <sz val="9"/>
      <name val="宋体"/>
      <charset val="134"/>
    </font>
    <font>
      <sz val="10"/>
      <name val="微软雅黑"/>
      <charset val="134"/>
    </font>
    <font>
      <sz val="9"/>
      <name val="Times New Roman"/>
      <charset val="134"/>
    </font>
    <font>
      <sz val="10"/>
      <name val="宋体"/>
      <charset val="134"/>
    </font>
    <font>
      <sz val="10"/>
      <name val="Times New Roman"/>
      <charset val="134"/>
    </font>
    <font>
      <sz val="12"/>
      <name val="宋体"/>
      <charset val="134"/>
      <scheme val="minor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sz val="12"/>
      <color theme="1"/>
      <name val="宋体"/>
      <charset val="134"/>
      <scheme val="minor"/>
    </font>
    <font>
      <sz val="12"/>
      <color rgb="FFFF0000"/>
      <name val="微软雅黑"/>
      <charset val="134"/>
    </font>
    <font>
      <b/>
      <sz val="10"/>
      <name val="微软雅黑"/>
      <charset val="134"/>
    </font>
    <font>
      <sz val="10"/>
      <name val="等线"/>
      <charset val="134"/>
    </font>
    <font>
      <sz val="12"/>
      <color rgb="FF000000"/>
      <name val="等线"/>
      <charset val="134"/>
    </font>
    <font>
      <sz val="10"/>
      <name val="Microsoft YaHei"/>
      <charset val="134"/>
    </font>
    <font>
      <sz val="10"/>
      <name val="default"/>
      <charset val="134"/>
    </font>
    <font>
      <b/>
      <sz val="10"/>
      <name val="Microsoft YaHei"/>
      <charset val="134"/>
    </font>
    <font>
      <sz val="11"/>
      <name val="Microsoft YaHei"/>
      <charset val="134"/>
    </font>
    <font>
      <sz val="10"/>
      <color rgb="FF000000"/>
      <name val="微软雅黑"/>
      <charset val="134"/>
    </font>
    <font>
      <sz val="10"/>
      <color rgb="FFFF0000"/>
      <name val="微软雅黑"/>
      <charset val="134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0" borderId="16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3" borderId="17" applyNumberFormat="0" applyAlignment="0" applyProtection="0">
      <alignment vertical="center"/>
    </xf>
    <xf numFmtId="0" fontId="32" fillId="4" borderId="18" applyNumberFormat="0" applyAlignment="0" applyProtection="0">
      <alignment vertical="center"/>
    </xf>
    <xf numFmtId="0" fontId="33" fillId="4" borderId="17" applyNumberFormat="0" applyAlignment="0" applyProtection="0">
      <alignment vertical="center"/>
    </xf>
    <xf numFmtId="0" fontId="34" fillId="5" borderId="19" applyNumberFormat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0" borderId="21" applyNumberFormat="0" applyFill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9" fillId="8" borderId="0" applyNumberFormat="0" applyBorder="0" applyAlignment="0" applyProtection="0">
      <alignment vertical="center"/>
    </xf>
    <xf numFmtId="0" fontId="40" fillId="9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</cellStyleXfs>
  <cellXfs count="8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 applyProtection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2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 applyProtection="1">
      <alignment horizontal="center" vertical="center"/>
    </xf>
    <xf numFmtId="177" fontId="4" fillId="0" borderId="1" xfId="0" applyNumberFormat="1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176" fontId="4" fillId="0" borderId="3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177" fontId="4" fillId="0" borderId="0" xfId="0" applyNumberFormat="1" applyFont="1" applyFill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176" fontId="4" fillId="0" borderId="4" xfId="0" applyNumberFormat="1" applyFont="1" applyFill="1" applyBorder="1" applyAlignment="1" applyProtection="1">
      <alignment horizontal="center" vertical="center"/>
    </xf>
    <xf numFmtId="176" fontId="4" fillId="0" borderId="5" xfId="0" applyNumberFormat="1" applyFont="1" applyFill="1" applyBorder="1" applyAlignment="1" applyProtection="1">
      <alignment horizontal="center" vertical="center"/>
    </xf>
    <xf numFmtId="177" fontId="4" fillId="0" borderId="6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  <xf numFmtId="0" fontId="8" fillId="0" borderId="0" xfId="0" applyFont="1" applyFill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176" fontId="4" fillId="0" borderId="7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1" xfId="0" applyNumberFormat="1" applyFont="1" applyFill="1" applyBorder="1" applyAlignment="1">
      <alignment horizontal="center" vertical="center"/>
    </xf>
    <xf numFmtId="176" fontId="4" fillId="0" borderId="8" xfId="0" applyNumberFormat="1" applyFont="1" applyFill="1" applyBorder="1" applyAlignment="1">
      <alignment horizontal="center" vertical="center"/>
    </xf>
    <xf numFmtId="0" fontId="9" fillId="0" borderId="1" xfId="0" applyFont="1" applyFill="1" applyBorder="1" applyAlignment="1" applyProtection="1">
      <alignment horizontal="center" vertical="center" wrapText="1"/>
    </xf>
    <xf numFmtId="0" fontId="9" fillId="0" borderId="9" xfId="0" applyFont="1" applyFill="1" applyBorder="1" applyAlignment="1" applyProtection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/>
    </xf>
    <xf numFmtId="0" fontId="9" fillId="0" borderId="3" xfId="0" applyFont="1" applyFill="1" applyBorder="1" applyAlignment="1" applyProtection="1">
      <alignment horizontal="center" vertical="center" wrapText="1"/>
    </xf>
    <xf numFmtId="0" fontId="12" fillId="0" borderId="1" xfId="0" applyFont="1" applyFill="1" applyBorder="1" applyAlignment="1" applyProtection="1">
      <alignment horizontal="center" vertical="center" wrapText="1"/>
    </xf>
    <xf numFmtId="177" fontId="9" fillId="0" borderId="1" xfId="0" applyNumberFormat="1" applyFont="1" applyFill="1" applyBorder="1" applyAlignment="1" applyProtection="1">
      <alignment horizontal="center" vertical="center" wrapText="1"/>
    </xf>
    <xf numFmtId="178" fontId="9" fillId="0" borderId="1" xfId="0" applyNumberFormat="1" applyFont="1" applyFill="1" applyBorder="1" applyAlignment="1" applyProtection="1">
      <alignment horizontal="center" vertical="center" wrapText="1"/>
    </xf>
    <xf numFmtId="10" fontId="9" fillId="0" borderId="1" xfId="0" applyNumberFormat="1" applyFont="1" applyFill="1" applyBorder="1" applyAlignment="1" applyProtection="1">
      <alignment horizontal="center" vertical="center" wrapText="1"/>
    </xf>
    <xf numFmtId="9" fontId="9" fillId="0" borderId="1" xfId="0" applyNumberFormat="1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>
      <alignment vertical="center"/>
    </xf>
    <xf numFmtId="0" fontId="13" fillId="0" borderId="10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 wrapText="1"/>
    </xf>
    <xf numFmtId="0" fontId="13" fillId="0" borderId="1" xfId="0" applyFont="1" applyFill="1" applyBorder="1" applyAlignment="1" applyProtection="1">
      <alignment horizontal="center" vertical="center"/>
    </xf>
    <xf numFmtId="0" fontId="13" fillId="0" borderId="8" xfId="0" applyFont="1" applyFill="1" applyBorder="1" applyAlignment="1" applyProtection="1">
      <alignment horizontal="center" vertical="center"/>
    </xf>
    <xf numFmtId="0" fontId="13" fillId="0" borderId="11" xfId="0" applyFont="1" applyFill="1" applyBorder="1" applyAlignment="1" applyProtection="1">
      <alignment horizontal="center" vertical="center" wrapText="1"/>
    </xf>
    <xf numFmtId="0" fontId="13" fillId="0" borderId="8" xfId="0" applyFont="1" applyFill="1" applyBorder="1" applyAlignment="1" applyProtection="1">
      <alignment horizontal="center" vertical="center" wrapText="1"/>
    </xf>
    <xf numFmtId="0" fontId="14" fillId="0" borderId="12" xfId="0" applyFont="1" applyFill="1" applyBorder="1" applyAlignment="1" applyProtection="1">
      <alignment vertical="center"/>
    </xf>
    <xf numFmtId="0" fontId="15" fillId="0" borderId="0" xfId="0" applyFont="1" applyFill="1" applyAlignment="1">
      <alignment vertical="center" wrapText="1"/>
    </xf>
    <xf numFmtId="0" fontId="4" fillId="0" borderId="10" xfId="0" applyFont="1" applyFill="1" applyBorder="1" applyAlignment="1" applyProtection="1">
      <alignment horizontal="center" vertical="center"/>
    </xf>
    <xf numFmtId="2" fontId="16" fillId="0" borderId="1" xfId="0" applyNumberFormat="1" applyFont="1" applyFill="1" applyBorder="1" applyAlignment="1" applyProtection="1">
      <alignment horizontal="center" vertical="center"/>
    </xf>
    <xf numFmtId="10" fontId="16" fillId="0" borderId="1" xfId="0" applyNumberFormat="1" applyFont="1" applyFill="1" applyBorder="1" applyAlignment="1" applyProtection="1">
      <alignment horizontal="center" vertical="center"/>
    </xf>
    <xf numFmtId="4" fontId="16" fillId="0" borderId="1" xfId="0" applyNumberFormat="1" applyFont="1" applyFill="1" applyBorder="1" applyAlignment="1" applyProtection="1">
      <alignment horizontal="center" vertical="center"/>
    </xf>
    <xf numFmtId="1" fontId="16" fillId="0" borderId="1" xfId="0" applyNumberFormat="1" applyFont="1" applyFill="1" applyBorder="1" applyAlignment="1" applyProtection="1">
      <alignment horizontal="center" vertical="center"/>
    </xf>
    <xf numFmtId="178" fontId="16" fillId="0" borderId="1" xfId="0" applyNumberFormat="1" applyFont="1" applyFill="1" applyBorder="1" applyAlignment="1" applyProtection="1">
      <alignment horizontal="center" vertical="center"/>
    </xf>
    <xf numFmtId="0" fontId="17" fillId="0" borderId="1" xfId="0" applyFont="1" applyFill="1" applyBorder="1" applyAlignment="1" applyProtection="1">
      <alignment horizontal="center" vertical="center"/>
    </xf>
    <xf numFmtId="0" fontId="16" fillId="0" borderId="1" xfId="0" applyFont="1" applyFill="1" applyBorder="1" applyAlignment="1" applyProtection="1">
      <alignment horizontal="center" vertical="center" wrapText="1"/>
    </xf>
    <xf numFmtId="0" fontId="16" fillId="0" borderId="1" xfId="0" applyFont="1" applyFill="1" applyBorder="1" applyAlignment="1" applyProtection="1">
      <alignment horizontal="center" vertical="center"/>
    </xf>
    <xf numFmtId="179" fontId="18" fillId="0" borderId="1" xfId="0" applyNumberFormat="1" applyFont="1" applyFill="1" applyBorder="1" applyAlignment="1" applyProtection="1">
      <alignment horizontal="center" vertical="center"/>
    </xf>
    <xf numFmtId="2" fontId="19" fillId="0" borderId="1" xfId="0" applyNumberFormat="1" applyFont="1" applyFill="1" applyBorder="1" applyAlignment="1" applyProtection="1">
      <alignment horizontal="center" vertical="center"/>
    </xf>
    <xf numFmtId="0" fontId="16" fillId="0" borderId="8" xfId="0" applyFont="1" applyFill="1" applyBorder="1" applyAlignment="1" applyProtection="1">
      <alignment horizontal="center" vertical="center"/>
    </xf>
    <xf numFmtId="2" fontId="4" fillId="0" borderId="4" xfId="0" applyNumberFormat="1" applyFont="1" applyFill="1" applyBorder="1" applyAlignment="1" applyProtection="1">
      <alignment horizontal="center" vertical="center"/>
    </xf>
    <xf numFmtId="0" fontId="4" fillId="0" borderId="4" xfId="0" applyFont="1" applyFill="1" applyBorder="1" applyAlignment="1" applyProtection="1">
      <alignment horizontal="center" vertical="center"/>
    </xf>
    <xf numFmtId="0" fontId="20" fillId="0" borderId="5" xfId="0" applyFont="1" applyFill="1" applyBorder="1" applyAlignment="1" applyProtection="1">
      <alignment horizontal="center" vertical="center"/>
    </xf>
    <xf numFmtId="179" fontId="16" fillId="0" borderId="1" xfId="0" applyNumberFormat="1" applyFont="1" applyFill="1" applyBorder="1" applyAlignment="1" applyProtection="1">
      <alignment horizontal="center" vertical="center"/>
    </xf>
    <xf numFmtId="0" fontId="21" fillId="0" borderId="5" xfId="0" applyFont="1" applyFill="1" applyBorder="1" applyAlignment="1" applyProtection="1">
      <alignment horizontal="center" vertical="center"/>
    </xf>
    <xf numFmtId="1" fontId="13" fillId="0" borderId="13" xfId="0" applyNumberFormat="1" applyFont="1" applyFill="1" applyBorder="1" applyAlignment="1" applyProtection="1">
      <alignment horizontal="center" vertical="center"/>
    </xf>
    <xf numFmtId="2" fontId="18" fillId="0" borderId="12" xfId="0" applyNumberFormat="1" applyFont="1" applyFill="1" applyBorder="1" applyAlignment="1" applyProtection="1">
      <alignment horizontal="center" vertical="center"/>
    </xf>
    <xf numFmtId="10" fontId="18" fillId="0" borderId="12" xfId="0" applyNumberFormat="1" applyFont="1" applyFill="1" applyBorder="1" applyAlignment="1" applyProtection="1">
      <alignment horizontal="center" vertical="center"/>
    </xf>
    <xf numFmtId="1" fontId="18" fillId="0" borderId="12" xfId="0" applyNumberFormat="1" applyFont="1" applyFill="1" applyBorder="1" applyAlignment="1" applyProtection="1">
      <alignment horizontal="center" vertical="center"/>
    </xf>
    <xf numFmtId="178" fontId="18" fillId="0" borderId="12" xfId="0" applyNumberFormat="1" applyFont="1" applyFill="1" applyBorder="1" applyAlignment="1" applyProtection="1">
      <alignment horizontal="center" vertical="center"/>
    </xf>
    <xf numFmtId="0" fontId="18" fillId="0" borderId="12" xfId="0" applyFont="1" applyFill="1" applyBorder="1" applyAlignment="1" applyProtection="1">
      <alignment horizontal="center" vertical="center"/>
    </xf>
    <xf numFmtId="179" fontId="18" fillId="0" borderId="12" xfId="0" applyNumberFormat="1" applyFont="1" applyFill="1" applyBorder="1" applyAlignment="1" applyProtection="1">
      <alignment horizontal="center" vertical="center"/>
    </xf>
    <xf numFmtId="1" fontId="13" fillId="0" borderId="4" xfId="0" applyNumberFormat="1" applyFont="1" applyFill="1" applyBorder="1" applyAlignment="1" applyProtection="1">
      <alignment horizontal="center" vertical="center"/>
    </xf>
    <xf numFmtId="0" fontId="22" fillId="0" borderId="0" xfId="0" applyFont="1" applyFill="1" applyAlignment="1">
      <alignment vertical="center"/>
    </xf>
    <xf numFmtId="0" fontId="22" fillId="0" borderId="6" xfId="0" applyFont="1" applyFill="1" applyBorder="1" applyAlignment="1">
      <alignment vertical="center"/>
    </xf>
    <xf numFmtId="177" fontId="22" fillId="0" borderId="6" xfId="0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 applyProtection="1">
      <alignment horizontal="center" vertical="center"/>
    </xf>
    <xf numFmtId="0" fontId="22" fillId="0" borderId="1" xfId="0" applyFont="1" applyFill="1" applyBorder="1" applyAlignment="1">
      <alignment vertical="center"/>
    </xf>
    <xf numFmtId="0" fontId="22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applyProtection="1">
      <alignment horizontal="center" vertical="center"/>
    </xf>
    <xf numFmtId="0" fontId="22" fillId="0" borderId="0" xfId="0" applyFont="1" applyFill="1" applyAlignment="1">
      <alignment vertical="center"/>
    </xf>
    <xf numFmtId="0" fontId="15" fillId="0" borderId="0" xfId="0" applyFont="1" applyFill="1" applyAlignment="1">
      <alignment vertical="center"/>
    </xf>
    <xf numFmtId="0" fontId="9" fillId="0" borderId="1" xfId="0" applyFont="1" applyFill="1" applyBorder="1" applyAlignment="1">
      <alignment horizontal="center" vertical="center"/>
    </xf>
    <xf numFmtId="0" fontId="21" fillId="0" borderId="1" xfId="0" applyFont="1" applyFill="1" applyBorder="1" applyAlignment="1" applyProtection="1">
      <alignment horizontal="center" vertical="center"/>
    </xf>
    <xf numFmtId="177" fontId="20" fillId="0" borderId="1" xfId="0" applyNumberFormat="1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 applyProtection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177" fontId="15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D:\home\jingjing\&#26700;&#38754;\KPI&#32771;&#26680;\6&#26376;\1-6&#26376;&#27719;&#24635;-&#25919;&#20225;&#37096;&#32771;&#26680;&#30456;&#20851;&#25351;&#26631;&#23436;&#25104;&#2054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政企客户事业部"/>
      <sheetName val="1-6月部门完成情况（主管更新）"/>
      <sheetName val="专项联网渗透（陈英杰）"/>
      <sheetName val="工作手机6+1万户（张家瑞）"/>
      <sheetName val="1-6月商企中心完成情况（徐曼丽）"/>
      <sheetName val="1-6月网格完成情况（主管更新）"/>
      <sheetName val="Sheet2"/>
      <sheetName val="Sheet1"/>
      <sheetName val="1-6月网格完成情况（主管更新） (2)"/>
      <sheetName val="算网数智签约额（收入底线）"/>
    </sheetNames>
    <sheetDataSet>
      <sheetData sheetId="0" refreshError="1"/>
      <sheetData sheetId="1" refreshError="1"/>
      <sheetData sheetId="2" refreshError="1">
        <row r="1">
          <cell r="B1" t="str">
            <v>单位</v>
          </cell>
          <cell r="C1" t="str">
            <v>规上企业渗透率</v>
          </cell>
        </row>
        <row r="1">
          <cell r="G1" t="str">
            <v>TOP321重点企业渗透率</v>
          </cell>
        </row>
        <row r="2">
          <cell r="C2" t="str">
            <v>目标</v>
          </cell>
          <cell r="D2" t="str">
            <v>完成</v>
          </cell>
          <cell r="E2" t="str">
            <v>完成率</v>
          </cell>
          <cell r="F2" t="str">
            <v>得分</v>
          </cell>
          <cell r="G2" t="str">
            <v>目标</v>
          </cell>
          <cell r="H2" t="str">
            <v>完成</v>
          </cell>
          <cell r="I2" t="str">
            <v>完成率</v>
          </cell>
        </row>
        <row r="3">
          <cell r="B3" t="str">
            <v>修武</v>
          </cell>
          <cell r="C3">
            <v>0.5</v>
          </cell>
          <cell r="D3">
            <v>0.505</v>
          </cell>
          <cell r="E3">
            <v>1.01</v>
          </cell>
          <cell r="F3">
            <v>0.5</v>
          </cell>
          <cell r="G3">
            <v>1</v>
          </cell>
          <cell r="H3">
            <v>1</v>
          </cell>
          <cell r="I3">
            <v>1</v>
          </cell>
        </row>
        <row r="4">
          <cell r="B4" t="str">
            <v>孟州</v>
          </cell>
          <cell r="C4">
            <v>0.5</v>
          </cell>
          <cell r="D4">
            <v>0.411</v>
          </cell>
          <cell r="E4">
            <v>0.822</v>
          </cell>
          <cell r="F4">
            <v>0.411</v>
          </cell>
          <cell r="G4">
            <v>1</v>
          </cell>
          <cell r="H4">
            <v>1</v>
          </cell>
          <cell r="I4">
            <v>1</v>
          </cell>
        </row>
        <row r="5">
          <cell r="B5" t="str">
            <v>武陟</v>
          </cell>
          <cell r="C5">
            <v>0.5</v>
          </cell>
          <cell r="D5">
            <v>0.248</v>
          </cell>
          <cell r="E5">
            <v>0.496</v>
          </cell>
          <cell r="F5">
            <v>0.248</v>
          </cell>
          <cell r="G5">
            <v>1</v>
          </cell>
          <cell r="H5">
            <v>1</v>
          </cell>
          <cell r="I5">
            <v>1</v>
          </cell>
        </row>
        <row r="6">
          <cell r="B6" t="str">
            <v>山阳</v>
          </cell>
          <cell r="C6">
            <v>0.5</v>
          </cell>
        </row>
        <row r="6">
          <cell r="E6">
            <v>0</v>
          </cell>
          <cell r="F6">
            <v>0</v>
          </cell>
          <cell r="G6" t="str">
            <v>-</v>
          </cell>
        </row>
        <row r="6">
          <cell r="I6" t="str">
            <v>-</v>
          </cell>
        </row>
        <row r="7">
          <cell r="B7" t="str">
            <v>中站</v>
          </cell>
          <cell r="C7">
            <v>0.5</v>
          </cell>
          <cell r="D7">
            <v>0.377</v>
          </cell>
          <cell r="E7">
            <v>0.754</v>
          </cell>
          <cell r="F7">
            <v>0.377</v>
          </cell>
          <cell r="G7">
            <v>1</v>
          </cell>
          <cell r="H7">
            <v>1</v>
          </cell>
          <cell r="I7">
            <v>1</v>
          </cell>
        </row>
        <row r="8">
          <cell r="B8" t="str">
            <v>解放</v>
          </cell>
          <cell r="C8">
            <v>0.5</v>
          </cell>
        </row>
        <row r="8">
          <cell r="E8">
            <v>0</v>
          </cell>
          <cell r="F8">
            <v>0</v>
          </cell>
          <cell r="G8" t="str">
            <v>-</v>
          </cell>
        </row>
        <row r="8">
          <cell r="I8" t="str">
            <v>-</v>
          </cell>
        </row>
        <row r="9">
          <cell r="B9" t="str">
            <v>沁阳</v>
          </cell>
          <cell r="C9">
            <v>0.5</v>
          </cell>
          <cell r="D9">
            <v>0.474</v>
          </cell>
          <cell r="E9">
            <v>0.948</v>
          </cell>
          <cell r="F9">
            <v>0.474</v>
          </cell>
          <cell r="G9">
            <v>1</v>
          </cell>
          <cell r="H9">
            <v>1</v>
          </cell>
          <cell r="I9">
            <v>1</v>
          </cell>
        </row>
        <row r="10">
          <cell r="B10" t="str">
            <v>温县</v>
          </cell>
          <cell r="C10">
            <v>0.5</v>
          </cell>
          <cell r="D10">
            <v>0.455</v>
          </cell>
          <cell r="E10">
            <v>0.91</v>
          </cell>
          <cell r="F10">
            <v>0.455</v>
          </cell>
          <cell r="G10">
            <v>1</v>
          </cell>
          <cell r="H10">
            <v>0.9</v>
          </cell>
          <cell r="I10">
            <v>0.9</v>
          </cell>
        </row>
        <row r="11">
          <cell r="B11" t="str">
            <v>博爱</v>
          </cell>
          <cell r="C11">
            <v>0.5</v>
          </cell>
          <cell r="D11">
            <v>0.487</v>
          </cell>
          <cell r="E11">
            <v>0.974</v>
          </cell>
          <cell r="F11">
            <v>0.487</v>
          </cell>
          <cell r="G11">
            <v>1</v>
          </cell>
          <cell r="H11">
            <v>0.8462</v>
          </cell>
          <cell r="I11">
            <v>0.8462</v>
          </cell>
        </row>
        <row r="12">
          <cell r="B12" t="str">
            <v>马村</v>
          </cell>
          <cell r="C12">
            <v>0.5</v>
          </cell>
          <cell r="D12">
            <v>0.353</v>
          </cell>
          <cell r="E12">
            <v>0.706</v>
          </cell>
          <cell r="F12">
            <v>0.353</v>
          </cell>
          <cell r="G12">
            <v>1</v>
          </cell>
          <cell r="H12">
            <v>0.8</v>
          </cell>
          <cell r="I12">
            <v>0.8</v>
          </cell>
        </row>
        <row r="13">
          <cell r="B13" t="str">
            <v>企业</v>
          </cell>
          <cell r="C13">
            <v>0.5</v>
          </cell>
          <cell r="D13">
            <v>0.307</v>
          </cell>
          <cell r="E13">
            <v>0.614</v>
          </cell>
          <cell r="F13">
            <v>0.614</v>
          </cell>
          <cell r="G13">
            <v>1</v>
          </cell>
          <cell r="H13">
            <v>0.64</v>
          </cell>
          <cell r="I13">
            <v>0.64</v>
          </cell>
        </row>
        <row r="14">
          <cell r="B14" t="str">
            <v>政要</v>
          </cell>
          <cell r="C14" t="str">
            <v>-</v>
          </cell>
          <cell r="D14" t="str">
            <v>-</v>
          </cell>
          <cell r="E14" t="str">
            <v>-</v>
          </cell>
          <cell r="F14" t="str">
            <v>-</v>
          </cell>
          <cell r="G14" t="str">
            <v>-</v>
          </cell>
          <cell r="H14" t="str">
            <v>-</v>
          </cell>
          <cell r="I14" t="str">
            <v>-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5"/>
  <sheetViews>
    <sheetView workbookViewId="0">
      <selection activeCell="G22" sqref="G22"/>
    </sheetView>
  </sheetViews>
  <sheetFormatPr defaultColWidth="8.88888888888889" defaultRowHeight="14.4"/>
  <sheetData>
    <row r="1" ht="15.6" spans="1:28">
      <c r="A1" s="40" t="s">
        <v>0</v>
      </c>
      <c r="B1" s="41" t="s">
        <v>1</v>
      </c>
      <c r="C1" s="41"/>
      <c r="D1" s="41"/>
      <c r="E1" s="41"/>
      <c r="F1" s="41" t="s">
        <v>2</v>
      </c>
      <c r="G1" s="41"/>
      <c r="H1" s="41"/>
      <c r="I1" s="41"/>
      <c r="J1" s="41"/>
      <c r="K1" s="41" t="s">
        <v>3</v>
      </c>
      <c r="L1" s="41"/>
      <c r="M1" s="41" t="s">
        <v>4</v>
      </c>
      <c r="N1" s="41"/>
      <c r="O1" s="41" t="s">
        <v>5</v>
      </c>
      <c r="P1" s="41"/>
      <c r="Q1" s="41"/>
      <c r="R1" s="41"/>
      <c r="S1" s="42" t="s">
        <v>6</v>
      </c>
      <c r="T1" s="42"/>
      <c r="U1" s="42"/>
      <c r="V1" s="42" t="s">
        <v>7</v>
      </c>
      <c r="W1" s="42"/>
      <c r="X1" s="42"/>
      <c r="Y1" s="43"/>
      <c r="Z1" s="44" t="s">
        <v>8</v>
      </c>
      <c r="AA1" s="44" t="s">
        <v>9</v>
      </c>
      <c r="AB1" s="32"/>
    </row>
    <row r="2" ht="46.8" spans="1:28">
      <c r="A2" s="40"/>
      <c r="B2" s="41" t="s">
        <v>10</v>
      </c>
      <c r="C2" s="41" t="s">
        <v>11</v>
      </c>
      <c r="D2" s="41" t="s">
        <v>12</v>
      </c>
      <c r="E2" s="41" t="s">
        <v>13</v>
      </c>
      <c r="F2" s="41" t="s">
        <v>14</v>
      </c>
      <c r="G2" s="41" t="s">
        <v>10</v>
      </c>
      <c r="H2" s="41" t="s">
        <v>11</v>
      </c>
      <c r="I2" s="41" t="s">
        <v>12</v>
      </c>
      <c r="J2" s="41" t="s">
        <v>13</v>
      </c>
      <c r="K2" s="41" t="s">
        <v>15</v>
      </c>
      <c r="L2" s="41" t="s">
        <v>13</v>
      </c>
      <c r="M2" s="41" t="s">
        <v>15</v>
      </c>
      <c r="N2" s="41" t="s">
        <v>13</v>
      </c>
      <c r="O2" s="41" t="s">
        <v>16</v>
      </c>
      <c r="P2" s="41" t="s">
        <v>11</v>
      </c>
      <c r="Q2" s="41" t="s">
        <v>12</v>
      </c>
      <c r="R2" s="41" t="s">
        <v>13</v>
      </c>
      <c r="S2" s="41" t="s">
        <v>17</v>
      </c>
      <c r="T2" s="41" t="s">
        <v>18</v>
      </c>
      <c r="U2" s="41" t="s">
        <v>19</v>
      </c>
      <c r="V2" s="41" t="s">
        <v>20</v>
      </c>
      <c r="W2" s="41" t="s">
        <v>21</v>
      </c>
      <c r="X2" s="41" t="s">
        <v>22</v>
      </c>
      <c r="Y2" s="45" t="s">
        <v>23</v>
      </c>
      <c r="Z2" s="46"/>
      <c r="AA2" s="46"/>
      <c r="AB2" s="47"/>
    </row>
    <row r="3" ht="15.6" spans="1:28">
      <c r="A3" s="48" t="s">
        <v>24</v>
      </c>
      <c r="B3" s="49">
        <v>161.4</v>
      </c>
      <c r="C3" s="49">
        <v>134.86</v>
      </c>
      <c r="D3" s="50">
        <v>0.835563816604709</v>
      </c>
      <c r="E3" s="51">
        <v>12.5334572490706</v>
      </c>
      <c r="F3" s="52">
        <v>3671</v>
      </c>
      <c r="G3" s="52">
        <v>3550</v>
      </c>
      <c r="H3" s="53">
        <v>3528</v>
      </c>
      <c r="I3" s="50">
        <v>0.993802816901408</v>
      </c>
      <c r="J3" s="49">
        <v>11.9014084507042</v>
      </c>
      <c r="K3" s="54">
        <v>78.8</v>
      </c>
      <c r="L3" s="55">
        <v>5</v>
      </c>
      <c r="M3" s="56">
        <v>42.2</v>
      </c>
      <c r="N3" s="56">
        <v>2.2</v>
      </c>
      <c r="O3" s="56">
        <v>57</v>
      </c>
      <c r="P3" s="56">
        <v>19</v>
      </c>
      <c r="Q3" s="57">
        <v>0.333</v>
      </c>
      <c r="R3" s="56">
        <v>3.5</v>
      </c>
      <c r="S3" s="58">
        <v>5</v>
      </c>
      <c r="T3" s="58">
        <v>4.02461538461538</v>
      </c>
      <c r="U3" s="58">
        <v>4.86974358974359</v>
      </c>
      <c r="V3" s="56">
        <v>10</v>
      </c>
      <c r="W3" s="56">
        <v>10</v>
      </c>
      <c r="X3" s="56">
        <v>0</v>
      </c>
      <c r="Y3" s="59">
        <v>3.39</v>
      </c>
      <c r="Z3" s="60">
        <v>72.4192246741339</v>
      </c>
      <c r="AA3" s="61">
        <v>10</v>
      </c>
      <c r="AB3" s="62" t="s">
        <v>24</v>
      </c>
    </row>
    <row r="4" ht="15.6" spans="1:28">
      <c r="A4" s="48" t="s">
        <v>25</v>
      </c>
      <c r="B4" s="49">
        <v>158.57</v>
      </c>
      <c r="C4" s="49">
        <v>139.32</v>
      </c>
      <c r="D4" s="50">
        <v>0.878602509932522</v>
      </c>
      <c r="E4" s="51">
        <v>13.1790376489878</v>
      </c>
      <c r="F4" s="52">
        <v>3349</v>
      </c>
      <c r="G4" s="52">
        <v>3238</v>
      </c>
      <c r="H4" s="53">
        <v>3203</v>
      </c>
      <c r="I4" s="50">
        <v>0.989190858554663</v>
      </c>
      <c r="J4" s="49">
        <v>9.59542927733169</v>
      </c>
      <c r="K4" s="54">
        <v>67.37</v>
      </c>
      <c r="L4" s="55">
        <v>4</v>
      </c>
      <c r="M4" s="56">
        <v>46</v>
      </c>
      <c r="N4" s="56">
        <v>2.6</v>
      </c>
      <c r="O4" s="56">
        <v>72</v>
      </c>
      <c r="P4" s="56">
        <v>57</v>
      </c>
      <c r="Q4" s="57">
        <v>0.792</v>
      </c>
      <c r="R4" s="56">
        <v>4.75</v>
      </c>
      <c r="S4" s="58">
        <v>5</v>
      </c>
      <c r="T4" s="58">
        <v>3.92307692307692</v>
      </c>
      <c r="U4" s="58">
        <v>3.98871794871795</v>
      </c>
      <c r="V4" s="56">
        <v>10</v>
      </c>
      <c r="W4" s="56">
        <v>10</v>
      </c>
      <c r="X4" s="56">
        <v>10</v>
      </c>
      <c r="Y4" s="59">
        <v>6.79</v>
      </c>
      <c r="Z4" s="60">
        <v>83.8262617981144</v>
      </c>
      <c r="AA4" s="61">
        <v>4</v>
      </c>
      <c r="AB4" s="62" t="s">
        <v>25</v>
      </c>
    </row>
    <row r="5" ht="15.6" spans="1:28">
      <c r="A5" s="48" t="s">
        <v>26</v>
      </c>
      <c r="B5" s="49">
        <v>146.15</v>
      </c>
      <c r="C5" s="49">
        <v>117.84</v>
      </c>
      <c r="D5" s="50">
        <v>0.806294902497434</v>
      </c>
      <c r="E5" s="51">
        <v>12.0944235374615</v>
      </c>
      <c r="F5" s="52">
        <v>3497</v>
      </c>
      <c r="G5" s="52">
        <v>3382</v>
      </c>
      <c r="H5" s="53">
        <v>3378</v>
      </c>
      <c r="I5" s="50">
        <v>0.998817267888823</v>
      </c>
      <c r="J5" s="49">
        <v>14.4086339444116</v>
      </c>
      <c r="K5" s="54">
        <v>60.24</v>
      </c>
      <c r="L5" s="56">
        <v>4</v>
      </c>
      <c r="M5" s="56">
        <v>40.3</v>
      </c>
      <c r="N5" s="56">
        <v>2</v>
      </c>
      <c r="O5" s="56">
        <v>95</v>
      </c>
      <c r="P5" s="56">
        <v>66</v>
      </c>
      <c r="Q5" s="63">
        <v>0.695</v>
      </c>
      <c r="R5" s="56">
        <v>4.25</v>
      </c>
      <c r="S5" s="58">
        <v>4.26051282051282</v>
      </c>
      <c r="T5" s="58">
        <v>3.78769230769231</v>
      </c>
      <c r="U5" s="58">
        <v>4.22769230769231</v>
      </c>
      <c r="V5" s="56">
        <v>10</v>
      </c>
      <c r="W5" s="56">
        <v>10</v>
      </c>
      <c r="X5" s="56">
        <v>0</v>
      </c>
      <c r="Y5" s="59">
        <v>6.45</v>
      </c>
      <c r="Z5" s="60">
        <v>75.4789549177706</v>
      </c>
      <c r="AA5" s="61">
        <v>8</v>
      </c>
      <c r="AB5" s="62" t="s">
        <v>26</v>
      </c>
    </row>
    <row r="6" ht="15.6" spans="1:28">
      <c r="A6" s="48" t="s">
        <v>27</v>
      </c>
      <c r="B6" s="49">
        <v>167.73</v>
      </c>
      <c r="C6" s="49">
        <v>150.84</v>
      </c>
      <c r="D6" s="50">
        <v>0.899302450366661</v>
      </c>
      <c r="E6" s="51">
        <v>13.4895367554999</v>
      </c>
      <c r="F6" s="52">
        <v>3841</v>
      </c>
      <c r="G6" s="52">
        <v>3714</v>
      </c>
      <c r="H6" s="53">
        <v>3700</v>
      </c>
      <c r="I6" s="50">
        <v>0.996230479267636</v>
      </c>
      <c r="J6" s="49">
        <v>13.115239633818</v>
      </c>
      <c r="K6" s="54">
        <v>86.21</v>
      </c>
      <c r="L6" s="56">
        <v>5</v>
      </c>
      <c r="M6" s="56">
        <v>49.7</v>
      </c>
      <c r="N6" s="56">
        <v>3</v>
      </c>
      <c r="O6" s="56">
        <v>63</v>
      </c>
      <c r="P6" s="56">
        <v>48</v>
      </c>
      <c r="Q6" s="57">
        <v>0.762</v>
      </c>
      <c r="R6" s="56">
        <v>4.5</v>
      </c>
      <c r="S6" s="58">
        <v>4.37846153846154</v>
      </c>
      <c r="T6" s="58">
        <v>4.51282051282051</v>
      </c>
      <c r="U6" s="58">
        <v>4.31282051282051</v>
      </c>
      <c r="V6" s="56">
        <v>10</v>
      </c>
      <c r="W6" s="56">
        <v>10</v>
      </c>
      <c r="X6" s="56">
        <v>4</v>
      </c>
      <c r="Y6" s="59">
        <v>10</v>
      </c>
      <c r="Z6" s="60">
        <v>86.3088789534205</v>
      </c>
      <c r="AA6" s="61">
        <v>3</v>
      </c>
      <c r="AB6" s="64" t="s">
        <v>27</v>
      </c>
    </row>
    <row r="7" ht="15.6" spans="1:28">
      <c r="A7" s="48" t="s">
        <v>28</v>
      </c>
      <c r="B7" s="49">
        <v>214.01</v>
      </c>
      <c r="C7" s="49">
        <v>191.69</v>
      </c>
      <c r="D7" s="50">
        <v>0.895705808139807</v>
      </c>
      <c r="E7" s="51">
        <v>13.4355871220971</v>
      </c>
      <c r="F7" s="52">
        <v>5361</v>
      </c>
      <c r="G7" s="52">
        <v>5184</v>
      </c>
      <c r="H7" s="53">
        <v>5159</v>
      </c>
      <c r="I7" s="50">
        <v>0.995177469135803</v>
      </c>
      <c r="J7" s="49">
        <v>12.5887345679013</v>
      </c>
      <c r="K7" s="54">
        <v>47.04</v>
      </c>
      <c r="L7" s="56">
        <v>2</v>
      </c>
      <c r="M7" s="56">
        <v>40.7</v>
      </c>
      <c r="N7" s="56">
        <v>2.1</v>
      </c>
      <c r="O7" s="56">
        <v>95</v>
      </c>
      <c r="P7" s="56">
        <v>32</v>
      </c>
      <c r="Q7" s="63">
        <v>0.337</v>
      </c>
      <c r="R7" s="56">
        <v>3.75</v>
      </c>
      <c r="S7" s="58">
        <v>4.18358974358974</v>
      </c>
      <c r="T7" s="58">
        <v>3.41025641025641</v>
      </c>
      <c r="U7" s="58">
        <v>4.51384615384615</v>
      </c>
      <c r="V7" s="56">
        <v>10</v>
      </c>
      <c r="W7" s="56">
        <v>8</v>
      </c>
      <c r="X7" s="56">
        <v>0</v>
      </c>
      <c r="Y7" s="59">
        <v>5.74</v>
      </c>
      <c r="Z7" s="60">
        <v>69.7220139976907</v>
      </c>
      <c r="AA7" s="61">
        <v>11</v>
      </c>
      <c r="AB7" s="62" t="s">
        <v>28</v>
      </c>
    </row>
    <row r="8" ht="15.6" spans="1:28">
      <c r="A8" s="48" t="s">
        <v>29</v>
      </c>
      <c r="B8" s="49">
        <v>129.71</v>
      </c>
      <c r="C8" s="49">
        <v>96.91</v>
      </c>
      <c r="D8" s="50">
        <v>0.747128209081798</v>
      </c>
      <c r="E8" s="51">
        <v>11.206923136227</v>
      </c>
      <c r="F8" s="52">
        <v>2864</v>
      </c>
      <c r="G8" s="52">
        <v>2769</v>
      </c>
      <c r="H8" s="53">
        <v>2764</v>
      </c>
      <c r="I8" s="50">
        <v>0.998194293968942</v>
      </c>
      <c r="J8" s="49">
        <v>14.0971469844709</v>
      </c>
      <c r="K8" s="54">
        <v>58.96</v>
      </c>
      <c r="L8" s="56">
        <v>3</v>
      </c>
      <c r="M8" s="56">
        <v>40.9</v>
      </c>
      <c r="N8" s="56">
        <v>2.1</v>
      </c>
      <c r="O8" s="56">
        <v>64</v>
      </c>
      <c r="P8" s="56">
        <v>21</v>
      </c>
      <c r="Q8" s="57">
        <v>0.328</v>
      </c>
      <c r="R8" s="56">
        <v>3.25</v>
      </c>
      <c r="S8" s="58">
        <v>5</v>
      </c>
      <c r="T8" s="58">
        <v>4.17333333333333</v>
      </c>
      <c r="U8" s="58">
        <v>3.79384615384615</v>
      </c>
      <c r="V8" s="56">
        <v>10</v>
      </c>
      <c r="W8" s="56">
        <v>10</v>
      </c>
      <c r="X8" s="56">
        <v>10</v>
      </c>
      <c r="Y8" s="59">
        <v>10</v>
      </c>
      <c r="Z8" s="60">
        <v>86.6212496078774</v>
      </c>
      <c r="AA8" s="61">
        <v>2</v>
      </c>
      <c r="AB8" s="64" t="s">
        <v>29</v>
      </c>
    </row>
    <row r="9" ht="15.6" spans="1:28">
      <c r="A9" s="48" t="s">
        <v>30</v>
      </c>
      <c r="B9" s="49">
        <v>39.66</v>
      </c>
      <c r="C9" s="49">
        <v>39.53</v>
      </c>
      <c r="D9" s="50">
        <v>0.996722138174483</v>
      </c>
      <c r="E9" s="51">
        <v>14.9508320726172</v>
      </c>
      <c r="F9" s="52">
        <v>987</v>
      </c>
      <c r="G9" s="52">
        <v>954</v>
      </c>
      <c r="H9" s="53">
        <v>945</v>
      </c>
      <c r="I9" s="50">
        <v>0.990566037735849</v>
      </c>
      <c r="J9" s="49">
        <v>10.2830188679245</v>
      </c>
      <c r="K9" s="54">
        <v>77.02</v>
      </c>
      <c r="L9" s="56">
        <v>5</v>
      </c>
      <c r="M9" s="56">
        <v>24.6</v>
      </c>
      <c r="N9" s="56">
        <v>0.5</v>
      </c>
      <c r="O9" s="56">
        <v>1</v>
      </c>
      <c r="P9" s="56">
        <v>1</v>
      </c>
      <c r="Q9" s="57">
        <v>1</v>
      </c>
      <c r="R9" s="56">
        <v>5</v>
      </c>
      <c r="S9" s="58">
        <v>3</v>
      </c>
      <c r="T9" s="58">
        <v>5</v>
      </c>
      <c r="U9" s="58">
        <v>3</v>
      </c>
      <c r="V9" s="56">
        <v>10</v>
      </c>
      <c r="W9" s="56">
        <v>6</v>
      </c>
      <c r="X9" s="56">
        <v>2</v>
      </c>
      <c r="Y9" s="59">
        <v>1.74</v>
      </c>
      <c r="Z9" s="60">
        <v>66.4738509405418</v>
      </c>
      <c r="AA9" s="61">
        <v>12</v>
      </c>
      <c r="AB9" s="62" t="s">
        <v>30</v>
      </c>
    </row>
    <row r="10" ht="15.6" spans="1:28">
      <c r="A10" s="48" t="s">
        <v>31</v>
      </c>
      <c r="B10" s="49">
        <v>37.45</v>
      </c>
      <c r="C10" s="49">
        <v>31.38</v>
      </c>
      <c r="D10" s="50">
        <v>0.837917222963952</v>
      </c>
      <c r="E10" s="51">
        <v>12.5687583444593</v>
      </c>
      <c r="F10" s="52">
        <v>1021</v>
      </c>
      <c r="G10" s="52">
        <v>987</v>
      </c>
      <c r="H10" s="53">
        <v>992</v>
      </c>
      <c r="I10" s="50">
        <v>1.00506585612969</v>
      </c>
      <c r="J10" s="49">
        <v>15</v>
      </c>
      <c r="K10" s="54">
        <v>56.77</v>
      </c>
      <c r="L10" s="56">
        <v>3</v>
      </c>
      <c r="M10" s="56">
        <v>41.4</v>
      </c>
      <c r="N10" s="56">
        <v>2.1</v>
      </c>
      <c r="O10" s="56">
        <v>12</v>
      </c>
      <c r="P10" s="56">
        <v>6</v>
      </c>
      <c r="Q10" s="63">
        <v>0.5</v>
      </c>
      <c r="R10" s="56">
        <v>4</v>
      </c>
      <c r="S10" s="58">
        <v>4.84615384615385</v>
      </c>
      <c r="T10" s="58">
        <v>3.51282051282051</v>
      </c>
      <c r="U10" s="58">
        <v>3.64102564102564</v>
      </c>
      <c r="V10" s="56">
        <v>10</v>
      </c>
      <c r="W10" s="56">
        <v>10</v>
      </c>
      <c r="X10" s="56">
        <v>10</v>
      </c>
      <c r="Y10" s="59">
        <v>10</v>
      </c>
      <c r="Z10" s="60">
        <v>88.6687583444593</v>
      </c>
      <c r="AA10" s="61">
        <v>1</v>
      </c>
      <c r="AB10" s="64" t="s">
        <v>31</v>
      </c>
    </row>
    <row r="11" ht="15.6" spans="1:28">
      <c r="A11" s="48" t="s">
        <v>32</v>
      </c>
      <c r="B11" s="49">
        <v>163.11</v>
      </c>
      <c r="C11" s="49">
        <v>152.61</v>
      </c>
      <c r="D11" s="50">
        <v>0.93562626448409</v>
      </c>
      <c r="E11" s="51">
        <v>14.0343939672614</v>
      </c>
      <c r="F11" s="52">
        <v>4088</v>
      </c>
      <c r="G11" s="52">
        <v>3953</v>
      </c>
      <c r="H11" s="53">
        <v>3934</v>
      </c>
      <c r="I11" s="50">
        <v>0.995193523905894</v>
      </c>
      <c r="J11" s="49">
        <v>12.5967619529471</v>
      </c>
      <c r="K11" s="54">
        <v>52.79</v>
      </c>
      <c r="L11" s="56">
        <v>5.5</v>
      </c>
      <c r="M11" s="56">
        <v>26.9</v>
      </c>
      <c r="N11" s="56">
        <v>0.7</v>
      </c>
      <c r="O11" s="56"/>
      <c r="P11" s="56"/>
      <c r="Q11" s="63"/>
      <c r="R11" s="56"/>
      <c r="S11" s="58">
        <v>4.05846153846154</v>
      </c>
      <c r="T11" s="58">
        <v>3.64102564102564</v>
      </c>
      <c r="U11" s="58">
        <v>3.76</v>
      </c>
      <c r="V11" s="56">
        <v>10</v>
      </c>
      <c r="W11" s="56">
        <v>10</v>
      </c>
      <c r="X11" s="56">
        <v>0</v>
      </c>
      <c r="Y11" s="59">
        <v>9.94</v>
      </c>
      <c r="Z11" s="60">
        <v>74.2306430996956</v>
      </c>
      <c r="AA11" s="61">
        <v>9</v>
      </c>
      <c r="AB11" s="62" t="s">
        <v>32</v>
      </c>
    </row>
    <row r="12" ht="15.6" spans="1:28">
      <c r="A12" s="48" t="s">
        <v>33</v>
      </c>
      <c r="B12" s="49">
        <v>133.63</v>
      </c>
      <c r="C12" s="49">
        <v>131.43</v>
      </c>
      <c r="D12" s="50">
        <v>0.983536630996034</v>
      </c>
      <c r="E12" s="51">
        <v>14.7530494649405</v>
      </c>
      <c r="F12" s="52">
        <v>3130</v>
      </c>
      <c r="G12" s="52">
        <v>3027</v>
      </c>
      <c r="H12" s="53">
        <v>2995</v>
      </c>
      <c r="I12" s="50">
        <v>0.989428477039974</v>
      </c>
      <c r="J12" s="49">
        <v>9.7142385199868</v>
      </c>
      <c r="K12" s="54">
        <v>44.12</v>
      </c>
      <c r="L12" s="56">
        <v>2</v>
      </c>
      <c r="M12" s="56">
        <v>28.9</v>
      </c>
      <c r="N12" s="56">
        <v>0.9</v>
      </c>
      <c r="O12" s="56">
        <v>1</v>
      </c>
      <c r="P12" s="56">
        <v>0</v>
      </c>
      <c r="Q12" s="57">
        <v>0</v>
      </c>
      <c r="R12" s="56">
        <v>3</v>
      </c>
      <c r="S12" s="58">
        <v>4.30358974358974</v>
      </c>
      <c r="T12" s="58">
        <v>3</v>
      </c>
      <c r="U12" s="58">
        <v>3.46153846153846</v>
      </c>
      <c r="V12" s="56">
        <v>10</v>
      </c>
      <c r="W12" s="56">
        <v>10</v>
      </c>
      <c r="X12" s="56">
        <v>10</v>
      </c>
      <c r="Y12" s="59">
        <v>8.75</v>
      </c>
      <c r="Z12" s="60">
        <v>79.8824161900555</v>
      </c>
      <c r="AA12" s="61">
        <v>6</v>
      </c>
      <c r="AB12" s="62" t="s">
        <v>33</v>
      </c>
    </row>
    <row r="13" ht="15.6" spans="1:28">
      <c r="A13" s="65" t="s">
        <v>8</v>
      </c>
      <c r="B13" s="66">
        <v>1406.83</v>
      </c>
      <c r="C13" s="66">
        <v>1230.76</v>
      </c>
      <c r="D13" s="67">
        <v>0.874846285620864</v>
      </c>
      <c r="E13" s="66">
        <v>13.122694284313</v>
      </c>
      <c r="F13" s="68">
        <v>34066</v>
      </c>
      <c r="G13" s="68">
        <v>32942</v>
      </c>
      <c r="H13" s="69">
        <v>32786</v>
      </c>
      <c r="I13" s="67">
        <v>0.995264404104183</v>
      </c>
      <c r="J13" s="66">
        <v>12.6322020520916</v>
      </c>
      <c r="K13" s="66">
        <v>62.932</v>
      </c>
      <c r="L13" s="66">
        <v>4</v>
      </c>
      <c r="M13" s="66">
        <v>38.16</v>
      </c>
      <c r="N13" s="66">
        <v>1.82</v>
      </c>
      <c r="O13" s="70">
        <v>460</v>
      </c>
      <c r="P13" s="70">
        <v>250</v>
      </c>
      <c r="Q13" s="71">
        <v>0.543</v>
      </c>
      <c r="R13" s="66">
        <v>4</v>
      </c>
      <c r="S13" s="66">
        <v>4.56923076923077</v>
      </c>
      <c r="T13" s="66">
        <v>3.89333333333333</v>
      </c>
      <c r="U13" s="66">
        <v>4.10051282051282</v>
      </c>
      <c r="V13" s="68">
        <v>10</v>
      </c>
      <c r="W13" s="68">
        <v>9.4</v>
      </c>
      <c r="X13" s="68">
        <v>4.6</v>
      </c>
      <c r="Y13" s="68">
        <v>7.28</v>
      </c>
      <c r="Z13" s="72"/>
      <c r="AA13" s="61"/>
      <c r="AB13" s="32"/>
    </row>
    <row r="14" ht="15.6" spans="1:28">
      <c r="A14" s="73"/>
      <c r="B14" s="73"/>
      <c r="C14" s="73"/>
      <c r="D14" s="73"/>
      <c r="E14" s="73"/>
      <c r="F14" s="73"/>
      <c r="G14" s="73"/>
      <c r="H14" s="73"/>
      <c r="I14" s="73"/>
      <c r="J14" s="73"/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  <c r="V14" s="73"/>
      <c r="W14" s="73"/>
      <c r="X14" s="73"/>
      <c r="Y14" s="74" t="s">
        <v>34</v>
      </c>
      <c r="Z14" s="75">
        <v>80.2299554324691</v>
      </c>
      <c r="AA14" s="76">
        <v>5</v>
      </c>
      <c r="AB14" s="32"/>
    </row>
    <row r="15" ht="15.6" spans="1:28">
      <c r="A15" s="73"/>
      <c r="B15" s="73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  <c r="V15" s="73"/>
      <c r="W15" s="73"/>
      <c r="X15" s="73"/>
      <c r="Y15" s="77" t="s">
        <v>35</v>
      </c>
      <c r="Z15" s="78">
        <v>78.2</v>
      </c>
      <c r="AA15" s="79">
        <v>7</v>
      </c>
      <c r="AB15" s="32"/>
    </row>
    <row r="16" ht="15.6" spans="1:28">
      <c r="A16" s="80"/>
      <c r="B16" s="80"/>
      <c r="C16" s="80"/>
      <c r="D16" s="80"/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32"/>
      <c r="AB16" s="32"/>
    </row>
    <row r="17" ht="15.6" spans="1:28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32"/>
      <c r="AB17" s="32"/>
    </row>
    <row r="18" ht="15.6" spans="1:2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32"/>
      <c r="AB18" s="32"/>
    </row>
    <row r="19" ht="15.6" spans="1:28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32"/>
      <c r="AB19" s="32"/>
    </row>
    <row r="20" ht="17.4" spans="1:28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2" t="s">
        <v>0</v>
      </c>
      <c r="P20" s="82" t="s">
        <v>36</v>
      </c>
      <c r="Q20" s="82" t="s">
        <v>9</v>
      </c>
      <c r="R20" s="81"/>
      <c r="S20" s="81"/>
      <c r="T20" s="81"/>
      <c r="U20" s="81"/>
      <c r="V20" s="81"/>
      <c r="W20" s="81"/>
      <c r="X20" s="81"/>
      <c r="Y20" s="81"/>
      <c r="Z20" s="81"/>
      <c r="AA20" s="32"/>
      <c r="AB20" s="32"/>
    </row>
    <row r="21" ht="15.6" spans="1:28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3" t="s">
        <v>31</v>
      </c>
      <c r="P21" s="84">
        <v>88.6687583444593</v>
      </c>
      <c r="Q21" s="85">
        <v>1</v>
      </c>
      <c r="R21" s="81"/>
      <c r="S21" s="81"/>
      <c r="T21" s="81"/>
      <c r="U21" s="81"/>
      <c r="V21" s="81"/>
      <c r="W21" s="81"/>
      <c r="X21" s="81"/>
      <c r="Y21" s="81"/>
      <c r="Z21" s="81"/>
      <c r="AA21" s="32"/>
      <c r="AB21" s="32"/>
    </row>
    <row r="22" ht="15.6" spans="1:28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3" t="s">
        <v>29</v>
      </c>
      <c r="P22" s="84">
        <v>86.6212496078774</v>
      </c>
      <c r="Q22" s="85">
        <v>2</v>
      </c>
      <c r="R22" s="81"/>
      <c r="S22" s="81"/>
      <c r="T22" s="81"/>
      <c r="U22" s="81"/>
      <c r="V22" s="81"/>
      <c r="W22" s="81"/>
      <c r="X22" s="81"/>
      <c r="Y22" s="81"/>
      <c r="Z22" s="81"/>
      <c r="AA22" s="32"/>
      <c r="AB22" s="32"/>
    </row>
    <row r="23" ht="15.6" spans="1:28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3" t="s">
        <v>27</v>
      </c>
      <c r="P23" s="84">
        <v>86.3088789534205</v>
      </c>
      <c r="Q23" s="85">
        <v>3</v>
      </c>
      <c r="R23" s="81"/>
      <c r="S23" s="81"/>
      <c r="T23" s="81"/>
      <c r="U23" s="81"/>
      <c r="V23" s="81"/>
      <c r="W23" s="81"/>
      <c r="X23" s="81"/>
      <c r="Y23" s="81"/>
      <c r="Z23" s="81"/>
      <c r="AA23" s="32"/>
      <c r="AB23" s="32"/>
    </row>
    <row r="24" ht="15.6" spans="1:28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6" t="s">
        <v>25</v>
      </c>
      <c r="P24" s="84">
        <v>83.8262617981144</v>
      </c>
      <c r="Q24" s="85">
        <v>4</v>
      </c>
      <c r="R24" s="81"/>
      <c r="S24" s="81"/>
      <c r="T24" s="81"/>
      <c r="U24" s="81"/>
      <c r="V24" s="81"/>
      <c r="W24" s="81"/>
      <c r="X24" s="81"/>
      <c r="Y24" s="81"/>
      <c r="Z24" s="81"/>
      <c r="AA24" s="32"/>
      <c r="AB24" s="32"/>
    </row>
    <row r="25" ht="15.6" spans="1:28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7" t="s">
        <v>34</v>
      </c>
      <c r="P25" s="84">
        <v>80.2299554324691</v>
      </c>
      <c r="Q25" s="85">
        <v>5</v>
      </c>
      <c r="R25" s="81"/>
      <c r="S25" s="81"/>
      <c r="T25" s="81"/>
      <c r="U25" s="81"/>
      <c r="V25" s="81"/>
      <c r="W25" s="81"/>
      <c r="X25" s="81"/>
      <c r="Y25" s="81"/>
      <c r="Z25" s="81"/>
      <c r="AA25" s="32"/>
      <c r="AB25" s="32"/>
    </row>
    <row r="26" ht="15.6" spans="1:28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6" t="s">
        <v>33</v>
      </c>
      <c r="P26" s="84">
        <v>79.8824161900555</v>
      </c>
      <c r="Q26" s="85">
        <v>6</v>
      </c>
      <c r="R26" s="81"/>
      <c r="S26" s="81"/>
      <c r="T26" s="81"/>
      <c r="U26" s="81"/>
      <c r="V26" s="81"/>
      <c r="W26" s="81"/>
      <c r="X26" s="81"/>
      <c r="Y26" s="81"/>
      <c r="Z26" s="81"/>
      <c r="AA26" s="32"/>
      <c r="AB26" s="32"/>
    </row>
    <row r="27" ht="15.6" spans="1:28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7" t="s">
        <v>35</v>
      </c>
      <c r="P27" s="84">
        <v>78.2</v>
      </c>
      <c r="Q27" s="85">
        <v>7</v>
      </c>
      <c r="R27" s="81"/>
      <c r="S27" s="81"/>
      <c r="T27" s="81"/>
      <c r="U27" s="81"/>
      <c r="V27" s="81"/>
      <c r="W27" s="81"/>
      <c r="X27" s="81"/>
      <c r="Y27" s="81"/>
      <c r="Z27" s="81"/>
      <c r="AA27" s="32"/>
      <c r="AB27" s="32"/>
    </row>
    <row r="28" ht="15.6" spans="1: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6" t="s">
        <v>26</v>
      </c>
      <c r="P28" s="84">
        <v>75.4789549177706</v>
      </c>
      <c r="Q28" s="85">
        <v>8</v>
      </c>
      <c r="R28" s="81"/>
      <c r="S28" s="81"/>
      <c r="T28" s="81"/>
      <c r="U28" s="81"/>
      <c r="V28" s="81"/>
      <c r="W28" s="81"/>
      <c r="X28" s="81"/>
      <c r="Y28" s="81"/>
      <c r="Z28" s="81"/>
      <c r="AA28" s="32"/>
      <c r="AB28" s="32"/>
    </row>
    <row r="29" ht="15.6" spans="1:28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6" t="s">
        <v>32</v>
      </c>
      <c r="P29" s="84">
        <v>74.2306430996956</v>
      </c>
      <c r="Q29" s="85">
        <v>9</v>
      </c>
      <c r="R29" s="81"/>
      <c r="S29" s="81"/>
      <c r="T29" s="81"/>
      <c r="U29" s="81"/>
      <c r="V29" s="81"/>
      <c r="W29" s="81"/>
      <c r="X29" s="81"/>
      <c r="Y29" s="81"/>
      <c r="Z29" s="81"/>
      <c r="AA29" s="32"/>
      <c r="AB29" s="32"/>
    </row>
    <row r="30" ht="15.6" spans="1:28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6" t="s">
        <v>24</v>
      </c>
      <c r="P30" s="84">
        <v>72.4192246741339</v>
      </c>
      <c r="Q30" s="85">
        <v>10</v>
      </c>
      <c r="R30" s="81"/>
      <c r="S30" s="81"/>
      <c r="T30" s="81"/>
      <c r="U30" s="81"/>
      <c r="V30" s="81"/>
      <c r="W30" s="81"/>
      <c r="X30" s="81"/>
      <c r="Y30" s="81"/>
      <c r="Z30" s="81"/>
      <c r="AA30" s="32"/>
      <c r="AB30" s="32"/>
    </row>
    <row r="31" ht="15.6" spans="1:28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6" t="s">
        <v>28</v>
      </c>
      <c r="P31" s="84">
        <v>69.7220139976907</v>
      </c>
      <c r="Q31" s="85">
        <v>11</v>
      </c>
      <c r="R31" s="81"/>
      <c r="S31" s="81"/>
      <c r="T31" s="81"/>
      <c r="U31" s="81"/>
      <c r="V31" s="81"/>
      <c r="W31" s="81"/>
      <c r="X31" s="81"/>
      <c r="Y31" s="81"/>
      <c r="Z31" s="81"/>
      <c r="AA31" s="32"/>
      <c r="AB31" s="32"/>
    </row>
    <row r="32" ht="15.6" spans="1:28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6" t="s">
        <v>30</v>
      </c>
      <c r="P32" s="84">
        <v>66.4738509405418</v>
      </c>
      <c r="Q32" s="85">
        <v>12</v>
      </c>
      <c r="R32" s="81"/>
      <c r="S32" s="81"/>
      <c r="T32" s="81"/>
      <c r="U32" s="81"/>
      <c r="V32" s="81"/>
      <c r="W32" s="81"/>
      <c r="X32" s="81"/>
      <c r="Y32" s="81"/>
      <c r="Z32" s="81"/>
      <c r="AA32" s="32"/>
      <c r="AB32" s="32"/>
    </row>
    <row r="33" ht="15.6" spans="1:28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8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32"/>
      <c r="AB33" s="32"/>
    </row>
    <row r="34" ht="15.6" spans="1:28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32"/>
      <c r="AB34" s="32"/>
    </row>
    <row r="35" ht="15.6" spans="1:28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32"/>
      <c r="AB35" s="32"/>
    </row>
  </sheetData>
  <mergeCells count="10">
    <mergeCell ref="B1:E1"/>
    <mergeCell ref="F1:J1"/>
    <mergeCell ref="K1:L1"/>
    <mergeCell ref="M1:N1"/>
    <mergeCell ref="O1:R1"/>
    <mergeCell ref="S1:U1"/>
    <mergeCell ref="V1:Y1"/>
    <mergeCell ref="A1:A2"/>
    <mergeCell ref="Z1:Z2"/>
    <mergeCell ref="AA1:AA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workbookViewId="0">
      <selection activeCell="A5" sqref="A5"/>
    </sheetView>
  </sheetViews>
  <sheetFormatPr defaultColWidth="8.88888888888889" defaultRowHeight="14.4"/>
  <cols>
    <col min="4" max="4" width="12.6666666666667" customWidth="1"/>
    <col min="9" max="9" width="14" customWidth="1"/>
  </cols>
  <sheetData>
    <row r="1" ht="17.4" spans="1:21">
      <c r="A1" s="28" t="s">
        <v>0</v>
      </c>
      <c r="B1" s="28" t="s">
        <v>37</v>
      </c>
      <c r="C1" s="29" t="s">
        <v>9</v>
      </c>
      <c r="D1" s="30" t="s">
        <v>38</v>
      </c>
      <c r="E1" s="30"/>
      <c r="F1" s="30" t="s">
        <v>39</v>
      </c>
      <c r="G1" s="30"/>
      <c r="H1" s="31" t="s">
        <v>40</v>
      </c>
      <c r="I1" s="31"/>
      <c r="J1" s="31"/>
      <c r="K1" s="31" t="s">
        <v>41</v>
      </c>
      <c r="L1" s="31"/>
      <c r="M1" s="31"/>
      <c r="N1" s="32"/>
      <c r="O1" s="32"/>
      <c r="P1" s="28" t="s">
        <v>0</v>
      </c>
      <c r="Q1" s="28" t="s">
        <v>37</v>
      </c>
      <c r="R1" s="29" t="s">
        <v>9</v>
      </c>
      <c r="S1" s="31" t="s">
        <v>42</v>
      </c>
      <c r="T1" s="31"/>
      <c r="U1" s="31"/>
    </row>
    <row r="2" ht="17.4" spans="1:21">
      <c r="A2" s="28"/>
      <c r="B2" s="28"/>
      <c r="C2" s="33"/>
      <c r="D2" s="31" t="s">
        <v>43</v>
      </c>
      <c r="E2" s="31" t="s">
        <v>13</v>
      </c>
      <c r="F2" s="31" t="s">
        <v>43</v>
      </c>
      <c r="G2" s="31" t="s">
        <v>13</v>
      </c>
      <c r="H2" s="31" t="s">
        <v>10</v>
      </c>
      <c r="I2" s="31" t="s">
        <v>44</v>
      </c>
      <c r="J2" s="31" t="s">
        <v>13</v>
      </c>
      <c r="K2" s="31" t="s">
        <v>10</v>
      </c>
      <c r="L2" s="31" t="s">
        <v>44</v>
      </c>
      <c r="M2" s="31" t="s">
        <v>13</v>
      </c>
      <c r="N2" s="32"/>
      <c r="O2" s="32"/>
      <c r="P2" s="28"/>
      <c r="Q2" s="28"/>
      <c r="R2" s="33"/>
      <c r="S2" s="31" t="s">
        <v>10</v>
      </c>
      <c r="T2" s="31" t="s">
        <v>44</v>
      </c>
      <c r="U2" s="31" t="s">
        <v>13</v>
      </c>
    </row>
    <row r="3" ht="17.4" spans="1:21">
      <c r="A3" s="34" t="s">
        <v>31</v>
      </c>
      <c r="B3" s="35">
        <f t="shared" ref="B3:B14" si="0">E3+G3+J3+M3</f>
        <v>88</v>
      </c>
      <c r="C3" s="36">
        <f t="shared" ref="C3:C14" si="1">RANK(B3,$B$3:$B$16)</f>
        <v>1</v>
      </c>
      <c r="D3" s="37">
        <v>0.1534</v>
      </c>
      <c r="E3" s="35">
        <f t="shared" ref="E3:E12" si="2">IF(D3&gt;=9%,36,IF(D3&lt;0%,0,D3*100*2))</f>
        <v>36</v>
      </c>
      <c r="F3" s="37">
        <v>0.140039616568327</v>
      </c>
      <c r="G3" s="35">
        <f t="shared" ref="G3:G14" si="3">IF(F3&gt;=9%,36,IF(F3&lt;0%,0,F3*100*2))</f>
        <v>36</v>
      </c>
      <c r="H3" s="38">
        <v>1</v>
      </c>
      <c r="I3" s="37">
        <f>VLOOKUP(A3,'[1]专项联网渗透（陈英杰）'!$B:$I,8,0)</f>
        <v>0.8</v>
      </c>
      <c r="J3" s="35">
        <f t="shared" ref="J3:J13" si="4">I3/H3*20</f>
        <v>16</v>
      </c>
      <c r="K3" s="39"/>
      <c r="L3" s="39"/>
      <c r="M3" s="35">
        <v>0</v>
      </c>
      <c r="N3" s="32"/>
      <c r="O3" s="32"/>
      <c r="P3" s="34" t="s">
        <v>45</v>
      </c>
      <c r="Q3" s="35">
        <f t="shared" ref="Q3:Q17" si="5">U3</f>
        <v>100</v>
      </c>
      <c r="R3" s="36">
        <v>1</v>
      </c>
      <c r="S3" s="38">
        <v>0.5</v>
      </c>
      <c r="T3" s="37">
        <v>0.91</v>
      </c>
      <c r="U3" s="35">
        <v>100</v>
      </c>
    </row>
    <row r="4" ht="17.4" spans="1:21">
      <c r="A4" s="34" t="s">
        <v>46</v>
      </c>
      <c r="B4" s="35">
        <f t="shared" si="0"/>
        <v>69.88</v>
      </c>
      <c r="C4" s="36">
        <f t="shared" si="1"/>
        <v>2</v>
      </c>
      <c r="D4" s="37">
        <v>0.0814</v>
      </c>
      <c r="E4" s="35">
        <f t="shared" si="2"/>
        <v>16.28</v>
      </c>
      <c r="F4" s="37">
        <v>0.0995</v>
      </c>
      <c r="G4" s="35">
        <f t="shared" si="3"/>
        <v>36</v>
      </c>
      <c r="H4" s="38">
        <v>1</v>
      </c>
      <c r="I4" s="38">
        <v>0.88</v>
      </c>
      <c r="J4" s="35">
        <f t="shared" si="4"/>
        <v>17.6</v>
      </c>
      <c r="K4" s="37"/>
      <c r="L4" s="37"/>
      <c r="M4" s="35">
        <v>0</v>
      </c>
      <c r="N4" s="32"/>
      <c r="O4" s="32"/>
      <c r="P4" s="28" t="s">
        <v>47</v>
      </c>
      <c r="Q4" s="35">
        <f t="shared" si="5"/>
        <v>100</v>
      </c>
      <c r="R4" s="36">
        <v>1</v>
      </c>
      <c r="S4" s="38">
        <v>0.5</v>
      </c>
      <c r="T4" s="37">
        <v>0.81</v>
      </c>
      <c r="U4" s="35">
        <v>100</v>
      </c>
    </row>
    <row r="5" ht="17.4" spans="1:21">
      <c r="A5" s="34" t="s">
        <v>47</v>
      </c>
      <c r="B5" s="35">
        <f t="shared" si="0"/>
        <v>65.7258625621491</v>
      </c>
      <c r="C5" s="36">
        <f t="shared" si="1"/>
        <v>3</v>
      </c>
      <c r="D5" s="37">
        <v>0.161</v>
      </c>
      <c r="E5" s="35">
        <f t="shared" si="2"/>
        <v>36</v>
      </c>
      <c r="F5" s="37">
        <v>0.0846293128107453</v>
      </c>
      <c r="G5" s="35">
        <f t="shared" si="3"/>
        <v>16.9258625621491</v>
      </c>
      <c r="H5" s="38">
        <v>1</v>
      </c>
      <c r="I5" s="37">
        <f>VLOOKUP(A5,'[1]专项联网渗透（陈英杰）'!$B:$I,8,0)</f>
        <v>0.64</v>
      </c>
      <c r="J5" s="35">
        <f t="shared" si="4"/>
        <v>12.8</v>
      </c>
      <c r="K5" s="39"/>
      <c r="L5" s="39"/>
      <c r="M5" s="35">
        <v>0</v>
      </c>
      <c r="N5" s="32"/>
      <c r="O5" s="32"/>
      <c r="P5" s="34" t="s">
        <v>25</v>
      </c>
      <c r="Q5" s="35">
        <f t="shared" si="5"/>
        <v>100</v>
      </c>
      <c r="R5" s="36">
        <v>1</v>
      </c>
      <c r="S5" s="38">
        <v>0.5</v>
      </c>
      <c r="T5" s="37">
        <v>0.73</v>
      </c>
      <c r="U5" s="35">
        <v>100</v>
      </c>
    </row>
    <row r="6" ht="17.4" spans="1:21">
      <c r="A6" s="28" t="s">
        <v>26</v>
      </c>
      <c r="B6" s="35">
        <f t="shared" si="0"/>
        <v>57.76</v>
      </c>
      <c r="C6" s="36">
        <f t="shared" si="1"/>
        <v>4</v>
      </c>
      <c r="D6" s="37">
        <v>0.0088</v>
      </c>
      <c r="E6" s="35">
        <f t="shared" si="2"/>
        <v>1.76</v>
      </c>
      <c r="F6" s="37">
        <v>0.110077148190431</v>
      </c>
      <c r="G6" s="35">
        <f t="shared" si="3"/>
        <v>36</v>
      </c>
      <c r="H6" s="38">
        <v>1</v>
      </c>
      <c r="I6" s="37">
        <f>VLOOKUP(A6,'[1]专项联网渗透（陈英杰）'!$B:$I,8,0)</f>
        <v>1</v>
      </c>
      <c r="J6" s="35">
        <f t="shared" si="4"/>
        <v>20</v>
      </c>
      <c r="K6" s="39"/>
      <c r="L6" s="39"/>
      <c r="M6" s="35">
        <v>0</v>
      </c>
      <c r="N6" s="32"/>
      <c r="O6" s="32"/>
      <c r="P6" s="34" t="s">
        <v>32</v>
      </c>
      <c r="Q6" s="35">
        <f t="shared" si="5"/>
        <v>100</v>
      </c>
      <c r="R6" s="36">
        <v>1</v>
      </c>
      <c r="S6" s="38">
        <v>0.5</v>
      </c>
      <c r="T6" s="37">
        <v>0.68</v>
      </c>
      <c r="U6" s="35">
        <v>100</v>
      </c>
    </row>
    <row r="7" ht="17.4" spans="1:21">
      <c r="A7" s="28" t="s">
        <v>29</v>
      </c>
      <c r="B7" s="35">
        <f t="shared" si="0"/>
        <v>56</v>
      </c>
      <c r="C7" s="36">
        <f t="shared" si="1"/>
        <v>5</v>
      </c>
      <c r="D7" s="37">
        <v>-0.0726</v>
      </c>
      <c r="E7" s="35">
        <f t="shared" si="2"/>
        <v>0</v>
      </c>
      <c r="F7" s="37">
        <v>0.171273526816997</v>
      </c>
      <c r="G7" s="35">
        <f t="shared" si="3"/>
        <v>36</v>
      </c>
      <c r="H7" s="38">
        <v>1</v>
      </c>
      <c r="I7" s="37">
        <f>VLOOKUP(A7,'[1]专项联网渗透（陈英杰）'!$B:$I,8,0)</f>
        <v>1</v>
      </c>
      <c r="J7" s="35">
        <f t="shared" si="4"/>
        <v>20</v>
      </c>
      <c r="K7" s="39"/>
      <c r="L7" s="39"/>
      <c r="M7" s="35">
        <v>0</v>
      </c>
      <c r="N7" s="32"/>
      <c r="O7" s="32"/>
      <c r="P7" s="28" t="s">
        <v>48</v>
      </c>
      <c r="Q7" s="35">
        <f t="shared" si="5"/>
        <v>100</v>
      </c>
      <c r="R7" s="36">
        <v>1</v>
      </c>
      <c r="S7" s="38">
        <v>0.5</v>
      </c>
      <c r="T7" s="37">
        <v>0.53</v>
      </c>
      <c r="U7" s="35">
        <v>100</v>
      </c>
    </row>
    <row r="8" ht="17.4" spans="1:21">
      <c r="A8" s="28" t="s">
        <v>25</v>
      </c>
      <c r="B8" s="35">
        <f t="shared" si="0"/>
        <v>56</v>
      </c>
      <c r="C8" s="36">
        <f t="shared" si="1"/>
        <v>5</v>
      </c>
      <c r="D8" s="37">
        <v>-0.1496</v>
      </c>
      <c r="E8" s="35">
        <f t="shared" si="2"/>
        <v>0</v>
      </c>
      <c r="F8" s="37">
        <v>0.161209834166401</v>
      </c>
      <c r="G8" s="35">
        <f t="shared" si="3"/>
        <v>36</v>
      </c>
      <c r="H8" s="38">
        <v>1</v>
      </c>
      <c r="I8" s="37">
        <f>VLOOKUP(A8,'[1]专项联网渗透（陈英杰）'!$B:$I,8,0)</f>
        <v>1</v>
      </c>
      <c r="J8" s="35">
        <f t="shared" si="4"/>
        <v>20</v>
      </c>
      <c r="K8" s="39"/>
      <c r="L8" s="39"/>
      <c r="M8" s="35">
        <v>0</v>
      </c>
      <c r="N8" s="32"/>
      <c r="O8" s="32"/>
      <c r="P8" s="28" t="s">
        <v>46</v>
      </c>
      <c r="Q8" s="35">
        <f t="shared" si="5"/>
        <v>100</v>
      </c>
      <c r="R8" s="36">
        <v>1</v>
      </c>
      <c r="S8" s="38">
        <v>0.5</v>
      </c>
      <c r="T8" s="37">
        <v>0.53</v>
      </c>
      <c r="U8" s="35">
        <v>100</v>
      </c>
    </row>
    <row r="9" ht="17.4" spans="1:21">
      <c r="A9" s="28" t="s">
        <v>27</v>
      </c>
      <c r="B9" s="35">
        <f t="shared" si="0"/>
        <v>54</v>
      </c>
      <c r="C9" s="36">
        <f t="shared" si="1"/>
        <v>7</v>
      </c>
      <c r="D9" s="37">
        <v>-0.0288</v>
      </c>
      <c r="E9" s="35">
        <f t="shared" si="2"/>
        <v>0</v>
      </c>
      <c r="F9" s="37">
        <v>0.409191022386757</v>
      </c>
      <c r="G9" s="35">
        <f t="shared" si="3"/>
        <v>36</v>
      </c>
      <c r="H9" s="38">
        <v>1</v>
      </c>
      <c r="I9" s="37">
        <f>VLOOKUP(A9,'[1]专项联网渗透（陈英杰）'!$B:$I,8,0)</f>
        <v>0.9</v>
      </c>
      <c r="J9" s="35">
        <f t="shared" si="4"/>
        <v>18</v>
      </c>
      <c r="K9" s="39"/>
      <c r="L9" s="39"/>
      <c r="M9" s="35">
        <v>0</v>
      </c>
      <c r="N9" s="32"/>
      <c r="O9" s="32"/>
      <c r="P9" s="28" t="s">
        <v>49</v>
      </c>
      <c r="Q9" s="35">
        <f t="shared" si="5"/>
        <v>100</v>
      </c>
      <c r="R9" s="36">
        <v>1</v>
      </c>
      <c r="S9" s="38">
        <v>0.5</v>
      </c>
      <c r="T9" s="37">
        <v>0.53</v>
      </c>
      <c r="U9" s="35">
        <v>100</v>
      </c>
    </row>
    <row r="10" ht="17.4" spans="1:21">
      <c r="A10" s="28" t="s">
        <v>24</v>
      </c>
      <c r="B10" s="35">
        <f t="shared" si="0"/>
        <v>52.924</v>
      </c>
      <c r="C10" s="36">
        <f t="shared" si="1"/>
        <v>8</v>
      </c>
      <c r="D10" s="37">
        <v>-0.0264</v>
      </c>
      <c r="E10" s="35">
        <f t="shared" si="2"/>
        <v>0</v>
      </c>
      <c r="F10" s="37">
        <v>0.130097792061994</v>
      </c>
      <c r="G10" s="35">
        <f t="shared" si="3"/>
        <v>36</v>
      </c>
      <c r="H10" s="38">
        <v>1</v>
      </c>
      <c r="I10" s="37">
        <f>VLOOKUP(A10,'[1]专项联网渗透（陈英杰）'!$B:$I,8,0)</f>
        <v>0.8462</v>
      </c>
      <c r="J10" s="35">
        <f t="shared" si="4"/>
        <v>16.924</v>
      </c>
      <c r="K10" s="39"/>
      <c r="L10" s="39"/>
      <c r="M10" s="35">
        <v>0</v>
      </c>
      <c r="N10" s="32"/>
      <c r="O10" s="32"/>
      <c r="P10" s="28" t="s">
        <v>28</v>
      </c>
      <c r="Q10" s="35">
        <f t="shared" si="5"/>
        <v>100</v>
      </c>
      <c r="R10" s="36">
        <v>1</v>
      </c>
      <c r="S10" s="38">
        <v>0.5</v>
      </c>
      <c r="T10" s="37">
        <v>0.5</v>
      </c>
      <c r="U10" s="35">
        <v>100</v>
      </c>
    </row>
    <row r="11" ht="17.4" spans="1:21">
      <c r="A11" s="28" t="s">
        <v>28</v>
      </c>
      <c r="B11" s="35">
        <f t="shared" si="0"/>
        <v>48.5809663490987</v>
      </c>
      <c r="C11" s="36">
        <f t="shared" si="1"/>
        <v>9</v>
      </c>
      <c r="D11" s="37">
        <v>0.0598</v>
      </c>
      <c r="E11" s="35">
        <f t="shared" si="2"/>
        <v>11.96</v>
      </c>
      <c r="F11" s="37">
        <v>0.0831048317454937</v>
      </c>
      <c r="G11" s="35">
        <f t="shared" si="3"/>
        <v>16.6209663490987</v>
      </c>
      <c r="H11" s="38">
        <v>1</v>
      </c>
      <c r="I11" s="37">
        <f>VLOOKUP(A11,'[1]专项联网渗透（陈英杰）'!$B:$I,8,0)</f>
        <v>1</v>
      </c>
      <c r="J11" s="35">
        <f t="shared" si="4"/>
        <v>20</v>
      </c>
      <c r="K11" s="39"/>
      <c r="L11" s="39"/>
      <c r="M11" s="35">
        <v>0</v>
      </c>
      <c r="N11" s="32"/>
      <c r="O11" s="32"/>
      <c r="P11" s="28" t="s">
        <v>26</v>
      </c>
      <c r="Q11" s="35">
        <f t="shared" si="5"/>
        <v>60</v>
      </c>
      <c r="R11" s="36">
        <v>9</v>
      </c>
      <c r="S11" s="38">
        <v>0.5</v>
      </c>
      <c r="T11" s="37">
        <v>0.3</v>
      </c>
      <c r="U11" s="35">
        <f>T11/S11*100</f>
        <v>60</v>
      </c>
    </row>
    <row r="12" ht="17.4" spans="1:21">
      <c r="A12" s="28" t="s">
        <v>30</v>
      </c>
      <c r="B12" s="35">
        <f t="shared" si="0"/>
        <v>20</v>
      </c>
      <c r="C12" s="36">
        <f t="shared" si="1"/>
        <v>10</v>
      </c>
      <c r="D12" s="37">
        <v>-0.1063</v>
      </c>
      <c r="E12" s="35">
        <f t="shared" si="2"/>
        <v>0</v>
      </c>
      <c r="F12" s="37">
        <v>-0.00637748899230173</v>
      </c>
      <c r="G12" s="35">
        <f t="shared" si="3"/>
        <v>0</v>
      </c>
      <c r="H12" s="38">
        <v>1</v>
      </c>
      <c r="I12" s="37">
        <f>VLOOKUP(A12,'[1]专项联网渗透（陈英杰）'!$B:$I,8,0)</f>
        <v>1</v>
      </c>
      <c r="J12" s="35">
        <f t="shared" si="4"/>
        <v>20</v>
      </c>
      <c r="K12" s="39"/>
      <c r="L12" s="39"/>
      <c r="M12" s="35">
        <v>0</v>
      </c>
      <c r="N12" s="32"/>
      <c r="O12" s="32"/>
      <c r="P12" s="28" t="s">
        <v>27</v>
      </c>
      <c r="Q12" s="35">
        <f t="shared" si="5"/>
        <v>60</v>
      </c>
      <c r="R12" s="36">
        <v>10</v>
      </c>
      <c r="S12" s="38">
        <v>0.5</v>
      </c>
      <c r="T12" s="37">
        <v>0.3</v>
      </c>
      <c r="U12" s="35">
        <f>T12/S12*100</f>
        <v>60</v>
      </c>
    </row>
    <row r="13" ht="17.4" spans="1:21">
      <c r="A13" s="28" t="s">
        <v>32</v>
      </c>
      <c r="B13" s="35">
        <f t="shared" si="0"/>
        <v>0</v>
      </c>
      <c r="C13" s="36">
        <f t="shared" si="1"/>
        <v>11</v>
      </c>
      <c r="D13" s="37"/>
      <c r="E13" s="35"/>
      <c r="F13" s="37"/>
      <c r="G13" s="35">
        <f t="shared" si="3"/>
        <v>0</v>
      </c>
      <c r="H13" s="38">
        <v>1</v>
      </c>
      <c r="I13" s="37"/>
      <c r="J13" s="35">
        <f t="shared" si="4"/>
        <v>0</v>
      </c>
      <c r="K13" s="39"/>
      <c r="L13" s="39"/>
      <c r="M13" s="35">
        <v>0</v>
      </c>
      <c r="N13" s="32"/>
      <c r="O13" s="32"/>
      <c r="P13" s="28" t="s">
        <v>33</v>
      </c>
      <c r="Q13" s="35">
        <f t="shared" si="5"/>
        <v>0</v>
      </c>
      <c r="R13" s="36">
        <v>11</v>
      </c>
      <c r="S13" s="38">
        <v>0.5</v>
      </c>
      <c r="T13" s="37">
        <v>0.18</v>
      </c>
      <c r="U13" s="35">
        <v>0</v>
      </c>
    </row>
    <row r="14" ht="17.4" spans="1:21">
      <c r="A14" s="28" t="s">
        <v>33</v>
      </c>
      <c r="B14" s="35">
        <f t="shared" si="0"/>
        <v>0</v>
      </c>
      <c r="C14" s="36">
        <f t="shared" si="1"/>
        <v>11</v>
      </c>
      <c r="D14" s="37"/>
      <c r="E14" s="35"/>
      <c r="F14" s="37"/>
      <c r="G14" s="35">
        <f t="shared" si="3"/>
        <v>0</v>
      </c>
      <c r="H14" s="38">
        <v>1</v>
      </c>
      <c r="I14" s="37"/>
      <c r="J14" s="35"/>
      <c r="K14" s="39"/>
      <c r="L14" s="39"/>
      <c r="M14" s="35">
        <v>0</v>
      </c>
      <c r="N14" s="32"/>
      <c r="O14" s="32"/>
      <c r="P14" s="28" t="s">
        <v>24</v>
      </c>
      <c r="Q14" s="35">
        <f t="shared" si="5"/>
        <v>0</v>
      </c>
      <c r="R14" s="36">
        <v>13</v>
      </c>
      <c r="S14" s="38">
        <v>0.5</v>
      </c>
      <c r="T14" s="37">
        <v>0.02</v>
      </c>
      <c r="U14" s="35">
        <v>0</v>
      </c>
    </row>
    <row r="15" ht="17.4" spans="1:21">
      <c r="A15" s="28"/>
      <c r="B15" s="35"/>
      <c r="C15" s="36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2"/>
      <c r="O15" s="32"/>
      <c r="P15" s="28" t="s">
        <v>29</v>
      </c>
      <c r="Q15" s="35">
        <f t="shared" si="5"/>
        <v>0</v>
      </c>
      <c r="R15" s="36">
        <v>12</v>
      </c>
      <c r="S15" s="38">
        <v>0.5</v>
      </c>
      <c r="T15" s="37">
        <v>0</v>
      </c>
      <c r="U15" s="35">
        <v>0</v>
      </c>
    </row>
    <row r="16" ht="17.4" spans="1:21">
      <c r="A16" s="28"/>
      <c r="B16" s="35"/>
      <c r="C16" s="36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2"/>
      <c r="O16" s="32"/>
      <c r="P16" s="28" t="s">
        <v>30</v>
      </c>
      <c r="Q16" s="35">
        <f t="shared" si="5"/>
        <v>0</v>
      </c>
      <c r="R16" s="36">
        <v>14</v>
      </c>
      <c r="S16" s="38">
        <v>0.5</v>
      </c>
      <c r="T16" s="37" t="s">
        <v>50</v>
      </c>
      <c r="U16" s="35"/>
    </row>
    <row r="17" ht="17.4" spans="1:2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28" t="s">
        <v>31</v>
      </c>
      <c r="Q17" s="35">
        <f t="shared" si="5"/>
        <v>0</v>
      </c>
      <c r="R17" s="36">
        <v>15</v>
      </c>
      <c r="S17" s="38">
        <v>0.5</v>
      </c>
      <c r="T17" s="37" t="s">
        <v>50</v>
      </c>
      <c r="U17" s="35"/>
    </row>
  </sheetData>
  <mergeCells count="11">
    <mergeCell ref="D1:E1"/>
    <mergeCell ref="F1:G1"/>
    <mergeCell ref="H1:J1"/>
    <mergeCell ref="K1:M1"/>
    <mergeCell ref="S1:U1"/>
    <mergeCell ref="A1:A2"/>
    <mergeCell ref="B1:B2"/>
    <mergeCell ref="C1:C2"/>
    <mergeCell ref="P1:P2"/>
    <mergeCell ref="Q1:Q2"/>
    <mergeCell ref="R1:R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3"/>
  <sheetViews>
    <sheetView tabSelected="1" workbookViewId="0">
      <selection activeCell="B35" sqref="B35"/>
    </sheetView>
  </sheetViews>
  <sheetFormatPr defaultColWidth="8.88888888888889" defaultRowHeight="14.4"/>
  <cols>
    <col min="2" max="2" width="39" customWidth="1"/>
    <col min="3" max="3" width="37.7777777777778" customWidth="1"/>
  </cols>
  <sheetData>
    <row r="1" spans="1:20">
      <c r="A1" s="1" t="s">
        <v>51</v>
      </c>
      <c r="B1" s="2"/>
      <c r="C1" s="1" t="s">
        <v>52</v>
      </c>
      <c r="D1" s="1" t="s">
        <v>53</v>
      </c>
      <c r="E1" s="1" t="s">
        <v>54</v>
      </c>
      <c r="F1" s="2"/>
      <c r="G1" s="2"/>
      <c r="H1" s="3" t="s">
        <v>55</v>
      </c>
      <c r="I1" s="4" t="s">
        <v>29</v>
      </c>
      <c r="J1" s="4" t="s">
        <v>24</v>
      </c>
      <c r="K1" s="4" t="s">
        <v>28</v>
      </c>
      <c r="L1" s="4" t="s">
        <v>26</v>
      </c>
      <c r="M1" s="4" t="s">
        <v>25</v>
      </c>
      <c r="N1" s="4" t="s">
        <v>27</v>
      </c>
      <c r="O1" s="4" t="s">
        <v>33</v>
      </c>
      <c r="P1" s="4" t="s">
        <v>32</v>
      </c>
      <c r="Q1" s="4" t="s">
        <v>31</v>
      </c>
      <c r="R1" s="4" t="s">
        <v>30</v>
      </c>
      <c r="S1" s="4" t="s">
        <v>56</v>
      </c>
      <c r="T1" s="4" t="s">
        <v>57</v>
      </c>
    </row>
    <row r="2" spans="1:20">
      <c r="A2" s="2"/>
      <c r="B2" s="2"/>
      <c r="C2" s="2"/>
      <c r="D2" s="1" t="s">
        <v>58</v>
      </c>
      <c r="E2" s="1" t="s">
        <v>59</v>
      </c>
      <c r="F2" s="1" t="s">
        <v>60</v>
      </c>
      <c r="G2" s="1" t="s">
        <v>61</v>
      </c>
      <c r="H2" s="3" t="s">
        <v>62</v>
      </c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15" spans="1:20">
      <c r="A3" s="5" t="s">
        <v>63</v>
      </c>
      <c r="B3" s="5" t="s">
        <v>64</v>
      </c>
      <c r="C3" s="5" t="s">
        <v>65</v>
      </c>
      <c r="D3" s="6">
        <v>9.3</v>
      </c>
      <c r="E3" s="6">
        <v>9.3</v>
      </c>
      <c r="F3" s="6">
        <v>9.3</v>
      </c>
      <c r="G3" s="6">
        <v>9.3</v>
      </c>
      <c r="H3" s="7">
        <v>9.3</v>
      </c>
      <c r="I3" s="8">
        <v>9.1</v>
      </c>
      <c r="J3" s="8">
        <v>9.1</v>
      </c>
      <c r="K3" s="8">
        <v>9</v>
      </c>
      <c r="L3" s="8">
        <v>8.7</v>
      </c>
      <c r="M3" s="8">
        <v>9.3</v>
      </c>
      <c r="N3" s="8">
        <v>9.1</v>
      </c>
      <c r="O3" s="9">
        <v>9.3</v>
      </c>
      <c r="P3" s="9">
        <v>9.3</v>
      </c>
      <c r="Q3" s="9">
        <v>9.3</v>
      </c>
      <c r="R3" s="9">
        <v>9.3</v>
      </c>
      <c r="S3" s="10">
        <f t="shared" ref="S3:S22" si="0">(O3+Q3)/2</f>
        <v>9.3</v>
      </c>
      <c r="T3" s="10">
        <f t="shared" ref="T3:T22" si="1">(P3+R3)/2</f>
        <v>9.3</v>
      </c>
    </row>
    <row r="4" ht="15" spans="1:20">
      <c r="A4" s="11"/>
      <c r="B4" s="11"/>
      <c r="C4" s="5" t="s">
        <v>66</v>
      </c>
      <c r="D4" s="6">
        <v>2</v>
      </c>
      <c r="E4" s="6">
        <v>2</v>
      </c>
      <c r="F4" s="6">
        <v>2</v>
      </c>
      <c r="G4" s="6">
        <v>2</v>
      </c>
      <c r="H4" s="7">
        <v>2</v>
      </c>
      <c r="I4" s="8">
        <v>2</v>
      </c>
      <c r="J4" s="8">
        <v>2</v>
      </c>
      <c r="K4" s="8">
        <v>2</v>
      </c>
      <c r="L4" s="8">
        <v>2</v>
      </c>
      <c r="M4" s="8">
        <v>2</v>
      </c>
      <c r="N4" s="8">
        <v>2</v>
      </c>
      <c r="O4" s="9">
        <v>2</v>
      </c>
      <c r="P4" s="9">
        <v>2</v>
      </c>
      <c r="Q4" s="9">
        <v>2</v>
      </c>
      <c r="R4" s="9">
        <v>2</v>
      </c>
      <c r="S4" s="10">
        <f t="shared" si="0"/>
        <v>2</v>
      </c>
      <c r="T4" s="10">
        <f t="shared" si="1"/>
        <v>2</v>
      </c>
    </row>
    <row r="5" ht="15" spans="1:20">
      <c r="A5" s="11"/>
      <c r="B5" s="5" t="s">
        <v>67</v>
      </c>
      <c r="C5" s="5" t="s">
        <v>68</v>
      </c>
      <c r="D5" s="6">
        <v>2.5</v>
      </c>
      <c r="E5" s="6">
        <v>0.45</v>
      </c>
      <c r="F5" s="6">
        <v>0.45</v>
      </c>
      <c r="G5" s="6">
        <v>0.9</v>
      </c>
      <c r="H5" s="7">
        <v>0</v>
      </c>
      <c r="I5" s="8">
        <v>2.5</v>
      </c>
      <c r="J5" s="8">
        <v>2.5</v>
      </c>
      <c r="K5" s="8">
        <v>2.5</v>
      </c>
      <c r="L5" s="8">
        <v>2.5</v>
      </c>
      <c r="M5" s="8">
        <v>2.5</v>
      </c>
      <c r="N5" s="8">
        <v>2.5</v>
      </c>
      <c r="O5" s="9">
        <v>2</v>
      </c>
      <c r="P5" s="9">
        <v>2</v>
      </c>
      <c r="Q5" s="9">
        <v>2</v>
      </c>
      <c r="R5" s="9">
        <v>2</v>
      </c>
      <c r="S5" s="10">
        <f t="shared" si="0"/>
        <v>2</v>
      </c>
      <c r="T5" s="10">
        <f t="shared" si="1"/>
        <v>2</v>
      </c>
    </row>
    <row r="6" ht="15" spans="1:20">
      <c r="A6" s="11"/>
      <c r="B6" s="11"/>
      <c r="C6" s="5" t="s">
        <v>69</v>
      </c>
      <c r="D6" s="6">
        <v>0</v>
      </c>
      <c r="E6" s="6">
        <v>0.621</v>
      </c>
      <c r="F6" s="6">
        <v>1.242</v>
      </c>
      <c r="G6" s="6">
        <v>0.621</v>
      </c>
      <c r="H6" s="7">
        <v>3.45</v>
      </c>
      <c r="I6" s="8">
        <v>3.9</v>
      </c>
      <c r="J6" s="8">
        <v>2.725</v>
      </c>
      <c r="K6" s="8">
        <v>1.75</v>
      </c>
      <c r="L6" s="8">
        <v>5</v>
      </c>
      <c r="M6" s="8">
        <v>3.57</v>
      </c>
      <c r="N6" s="8">
        <v>2.725</v>
      </c>
      <c r="O6" s="9">
        <v>7.8</v>
      </c>
      <c r="P6" s="9">
        <v>7.8</v>
      </c>
      <c r="Q6" s="9">
        <v>3.5</v>
      </c>
      <c r="R6" s="9">
        <v>7.8</v>
      </c>
      <c r="S6" s="10">
        <f t="shared" si="0"/>
        <v>5.65</v>
      </c>
      <c r="T6" s="10">
        <f t="shared" si="1"/>
        <v>7.8</v>
      </c>
    </row>
    <row r="7" ht="15" spans="1:20">
      <c r="A7" s="11"/>
      <c r="B7" s="11"/>
      <c r="C7" s="5" t="s">
        <v>70</v>
      </c>
      <c r="D7" s="6">
        <v>0</v>
      </c>
      <c r="E7" s="6">
        <v>0.215345454545454</v>
      </c>
      <c r="F7" s="6">
        <v>0.430690909090909</v>
      </c>
      <c r="G7" s="6">
        <v>0.215345454545454</v>
      </c>
      <c r="H7" s="7">
        <v>2.39272727272727</v>
      </c>
      <c r="I7" s="8">
        <v>3.12</v>
      </c>
      <c r="J7" s="8">
        <v>1.4</v>
      </c>
      <c r="K7" s="8">
        <v>1.4</v>
      </c>
      <c r="L7" s="8">
        <v>4</v>
      </c>
      <c r="M7" s="8">
        <v>3.12</v>
      </c>
      <c r="N7" s="8">
        <v>1.4</v>
      </c>
      <c r="O7" s="9">
        <v>6.24</v>
      </c>
      <c r="P7" s="9">
        <v>8</v>
      </c>
      <c r="Q7" s="9">
        <v>8</v>
      </c>
      <c r="R7" s="9">
        <v>6.24</v>
      </c>
      <c r="S7" s="10">
        <f t="shared" si="0"/>
        <v>7.12</v>
      </c>
      <c r="T7" s="10">
        <f t="shared" si="1"/>
        <v>7.12</v>
      </c>
    </row>
    <row r="8" ht="15" spans="1:20">
      <c r="A8" s="11"/>
      <c r="B8" s="5" t="s">
        <v>71</v>
      </c>
      <c r="C8" s="5" t="s">
        <v>72</v>
      </c>
      <c r="D8" s="6">
        <v>5.4</v>
      </c>
      <c r="E8" s="6">
        <v>9</v>
      </c>
      <c r="F8" s="6">
        <v>9</v>
      </c>
      <c r="G8" s="6">
        <v>9</v>
      </c>
      <c r="H8" s="7">
        <v>2.7</v>
      </c>
      <c r="I8" s="8">
        <v>2</v>
      </c>
      <c r="J8" s="8">
        <v>2</v>
      </c>
      <c r="K8" s="8">
        <v>2</v>
      </c>
      <c r="L8" s="8">
        <v>2</v>
      </c>
      <c r="M8" s="8">
        <v>2</v>
      </c>
      <c r="N8" s="8">
        <v>2</v>
      </c>
      <c r="O8" s="9">
        <v>3</v>
      </c>
      <c r="P8" s="9">
        <v>3</v>
      </c>
      <c r="Q8" s="9">
        <v>3</v>
      </c>
      <c r="R8" s="9">
        <v>3</v>
      </c>
      <c r="S8" s="10">
        <f t="shared" si="0"/>
        <v>3</v>
      </c>
      <c r="T8" s="10">
        <f t="shared" si="1"/>
        <v>3</v>
      </c>
    </row>
    <row r="9" ht="15" spans="1:20">
      <c r="A9" s="11"/>
      <c r="B9" s="11"/>
      <c r="C9" s="5" t="s">
        <v>73</v>
      </c>
      <c r="D9" s="6">
        <v>0.9</v>
      </c>
      <c r="E9" s="6">
        <v>0.9</v>
      </c>
      <c r="F9" s="6">
        <v>0.9</v>
      </c>
      <c r="G9" s="6">
        <v>3</v>
      </c>
      <c r="H9" s="7">
        <v>0</v>
      </c>
      <c r="I9" s="8">
        <v>4.5</v>
      </c>
      <c r="J9" s="8">
        <v>4.5</v>
      </c>
      <c r="K9" s="8">
        <v>4.5</v>
      </c>
      <c r="L9" s="8">
        <v>4.5</v>
      </c>
      <c r="M9" s="8">
        <v>4.5</v>
      </c>
      <c r="N9" s="8">
        <v>4.5</v>
      </c>
      <c r="O9" s="9">
        <v>4.5</v>
      </c>
      <c r="P9" s="9">
        <v>4.5</v>
      </c>
      <c r="Q9" s="9">
        <v>4.5</v>
      </c>
      <c r="R9" s="9">
        <v>4.5</v>
      </c>
      <c r="S9" s="10">
        <f t="shared" si="0"/>
        <v>4.5</v>
      </c>
      <c r="T9" s="10">
        <f t="shared" si="1"/>
        <v>4.5</v>
      </c>
    </row>
    <row r="10" ht="15" spans="1:20">
      <c r="A10" s="11"/>
      <c r="B10" s="11"/>
      <c r="C10" s="5" t="s">
        <v>74</v>
      </c>
      <c r="D10" s="6">
        <v>3</v>
      </c>
      <c r="E10" s="6">
        <v>5</v>
      </c>
      <c r="F10" s="6">
        <v>1.5</v>
      </c>
      <c r="G10" s="6">
        <v>3</v>
      </c>
      <c r="H10" s="7">
        <v>0</v>
      </c>
      <c r="I10" s="8">
        <v>5</v>
      </c>
      <c r="J10" s="8">
        <v>5</v>
      </c>
      <c r="K10" s="8">
        <v>5</v>
      </c>
      <c r="L10" s="8">
        <v>5</v>
      </c>
      <c r="M10" s="8">
        <v>5</v>
      </c>
      <c r="N10" s="8">
        <v>5</v>
      </c>
      <c r="O10" s="9">
        <v>5</v>
      </c>
      <c r="P10" s="9">
        <v>5</v>
      </c>
      <c r="Q10" s="9">
        <v>5</v>
      </c>
      <c r="R10" s="9">
        <v>5</v>
      </c>
      <c r="S10" s="10">
        <f t="shared" si="0"/>
        <v>5</v>
      </c>
      <c r="T10" s="10">
        <f t="shared" si="1"/>
        <v>5</v>
      </c>
    </row>
    <row r="11" ht="15" spans="1:20">
      <c r="A11" s="5" t="s">
        <v>75</v>
      </c>
      <c r="B11" s="5" t="s">
        <v>76</v>
      </c>
      <c r="C11" s="5" t="s">
        <v>77</v>
      </c>
      <c r="D11" s="6" t="s">
        <v>78</v>
      </c>
      <c r="E11" s="6" t="s">
        <v>78</v>
      </c>
      <c r="F11" s="6" t="s">
        <v>78</v>
      </c>
      <c r="G11" s="6" t="s">
        <v>78</v>
      </c>
      <c r="H11" s="7" t="s">
        <v>78</v>
      </c>
      <c r="I11" s="8">
        <v>10</v>
      </c>
      <c r="J11" s="8">
        <v>10</v>
      </c>
      <c r="K11" s="8">
        <v>10</v>
      </c>
      <c r="L11" s="8">
        <v>10</v>
      </c>
      <c r="M11" s="8">
        <v>10</v>
      </c>
      <c r="N11" s="8">
        <v>10</v>
      </c>
      <c r="O11" s="9">
        <v>10</v>
      </c>
      <c r="P11" s="9">
        <v>10</v>
      </c>
      <c r="Q11" s="9">
        <v>10</v>
      </c>
      <c r="R11" s="9">
        <v>10</v>
      </c>
      <c r="S11" s="10">
        <f t="shared" si="0"/>
        <v>10</v>
      </c>
      <c r="T11" s="10">
        <f t="shared" si="1"/>
        <v>10</v>
      </c>
    </row>
    <row r="12" ht="15" spans="1:20">
      <c r="A12" s="11"/>
      <c r="B12" s="5" t="s">
        <v>79</v>
      </c>
      <c r="C12" s="5" t="s">
        <v>80</v>
      </c>
      <c r="D12" s="6">
        <v>10</v>
      </c>
      <c r="E12" s="6">
        <v>10</v>
      </c>
      <c r="F12" s="6">
        <v>10</v>
      </c>
      <c r="G12" s="6">
        <v>10</v>
      </c>
      <c r="H12" s="7">
        <v>10</v>
      </c>
      <c r="I12" s="8">
        <v>4</v>
      </c>
      <c r="J12" s="8">
        <v>4</v>
      </c>
      <c r="K12" s="8">
        <v>4</v>
      </c>
      <c r="L12" s="8">
        <v>4</v>
      </c>
      <c r="M12" s="8">
        <v>4</v>
      </c>
      <c r="N12" s="8">
        <v>4</v>
      </c>
      <c r="O12" s="9">
        <v>4</v>
      </c>
      <c r="P12" s="9">
        <v>4</v>
      </c>
      <c r="Q12" s="9">
        <v>4</v>
      </c>
      <c r="R12" s="9">
        <v>4</v>
      </c>
      <c r="S12" s="10">
        <f t="shared" si="0"/>
        <v>4</v>
      </c>
      <c r="T12" s="10">
        <f t="shared" si="1"/>
        <v>4</v>
      </c>
    </row>
    <row r="13" ht="15" spans="1:20">
      <c r="A13" s="11"/>
      <c r="B13" s="5" t="s">
        <v>81</v>
      </c>
      <c r="C13" s="5" t="s">
        <v>82</v>
      </c>
      <c r="D13" s="6">
        <v>2</v>
      </c>
      <c r="E13" s="6">
        <v>2</v>
      </c>
      <c r="F13" s="6">
        <v>0.6</v>
      </c>
      <c r="G13" s="6">
        <v>0.6</v>
      </c>
      <c r="H13" s="7">
        <v>2</v>
      </c>
      <c r="I13" s="8">
        <v>2</v>
      </c>
      <c r="J13" s="8">
        <v>2</v>
      </c>
      <c r="K13" s="8">
        <v>2</v>
      </c>
      <c r="L13" s="8">
        <v>2</v>
      </c>
      <c r="M13" s="8">
        <v>2</v>
      </c>
      <c r="N13" s="8">
        <v>2</v>
      </c>
      <c r="O13" s="9">
        <v>2</v>
      </c>
      <c r="P13" s="9">
        <v>2</v>
      </c>
      <c r="Q13" s="9">
        <v>2</v>
      </c>
      <c r="R13" s="9">
        <v>2</v>
      </c>
      <c r="S13" s="10">
        <f t="shared" si="0"/>
        <v>2</v>
      </c>
      <c r="T13" s="10">
        <f t="shared" si="1"/>
        <v>2</v>
      </c>
    </row>
    <row r="14" ht="15" spans="1:20">
      <c r="A14" s="11"/>
      <c r="B14" s="11"/>
      <c r="C14" s="5" t="s">
        <v>83</v>
      </c>
      <c r="D14" s="6">
        <v>4</v>
      </c>
      <c r="E14" s="6">
        <v>4</v>
      </c>
      <c r="F14" s="6">
        <v>4</v>
      </c>
      <c r="G14" s="6">
        <v>4</v>
      </c>
      <c r="H14" s="7">
        <v>4</v>
      </c>
      <c r="I14" s="8">
        <v>4</v>
      </c>
      <c r="J14" s="8">
        <v>4</v>
      </c>
      <c r="K14" s="8">
        <v>4</v>
      </c>
      <c r="L14" s="8">
        <v>4</v>
      </c>
      <c r="M14" s="8">
        <v>4</v>
      </c>
      <c r="N14" s="8">
        <v>4</v>
      </c>
      <c r="O14" s="9">
        <v>4</v>
      </c>
      <c r="P14" s="9">
        <v>4</v>
      </c>
      <c r="Q14" s="9">
        <v>4</v>
      </c>
      <c r="R14" s="9">
        <v>4</v>
      </c>
      <c r="S14" s="10">
        <f t="shared" si="0"/>
        <v>4</v>
      </c>
      <c r="T14" s="10">
        <f t="shared" si="1"/>
        <v>4</v>
      </c>
    </row>
    <row r="15" ht="15" spans="1:20">
      <c r="A15" s="11"/>
      <c r="B15" s="5" t="s">
        <v>84</v>
      </c>
      <c r="C15" s="5" t="s">
        <v>85</v>
      </c>
      <c r="D15" s="6">
        <v>2.57</v>
      </c>
      <c r="E15" s="6">
        <v>0.2313</v>
      </c>
      <c r="F15" s="6">
        <v>0.2313</v>
      </c>
      <c r="G15" s="6">
        <v>0.771</v>
      </c>
      <c r="H15" s="7">
        <v>0</v>
      </c>
      <c r="I15" s="8">
        <v>1.88</v>
      </c>
      <c r="J15" s="8">
        <v>2.86</v>
      </c>
      <c r="K15" s="8">
        <v>2.8</v>
      </c>
      <c r="L15" s="8">
        <v>2.91</v>
      </c>
      <c r="M15" s="8">
        <v>2.16</v>
      </c>
      <c r="N15" s="8">
        <v>3</v>
      </c>
      <c r="O15" s="9">
        <v>2.44</v>
      </c>
      <c r="P15" s="9">
        <v>2.68</v>
      </c>
      <c r="Q15" s="9">
        <v>2.44</v>
      </c>
      <c r="R15" s="9">
        <v>2.68</v>
      </c>
      <c r="S15" s="10">
        <f t="shared" si="0"/>
        <v>2.44</v>
      </c>
      <c r="T15" s="10">
        <f t="shared" si="1"/>
        <v>2.68</v>
      </c>
    </row>
    <row r="16" ht="15" spans="1:20">
      <c r="A16" s="11"/>
      <c r="B16" s="11"/>
      <c r="C16" s="5" t="s">
        <v>86</v>
      </c>
      <c r="D16" s="6">
        <v>3</v>
      </c>
      <c r="E16" s="6">
        <v>0.9</v>
      </c>
      <c r="F16" s="6">
        <v>0.9</v>
      </c>
      <c r="G16" s="6">
        <v>3</v>
      </c>
      <c r="H16" s="7">
        <v>0</v>
      </c>
      <c r="I16" s="8">
        <v>3</v>
      </c>
      <c r="J16" s="8">
        <v>3</v>
      </c>
      <c r="K16" s="8">
        <v>3</v>
      </c>
      <c r="L16" s="8">
        <v>3</v>
      </c>
      <c r="M16" s="8">
        <v>0</v>
      </c>
      <c r="N16" s="8">
        <v>3</v>
      </c>
      <c r="O16" s="9">
        <v>3</v>
      </c>
      <c r="P16" s="9">
        <v>0</v>
      </c>
      <c r="Q16" s="9">
        <v>3</v>
      </c>
      <c r="R16" s="9">
        <v>0</v>
      </c>
      <c r="S16" s="10">
        <f t="shared" si="0"/>
        <v>3</v>
      </c>
      <c r="T16" s="10">
        <f t="shared" si="1"/>
        <v>0</v>
      </c>
    </row>
    <row r="17" ht="15" spans="1:20">
      <c r="A17" s="11"/>
      <c r="B17" s="11"/>
      <c r="C17" s="5" t="s">
        <v>87</v>
      </c>
      <c r="D17" s="6">
        <v>2.54</v>
      </c>
      <c r="E17" s="6">
        <v>0.2286</v>
      </c>
      <c r="F17" s="6">
        <v>0.2286</v>
      </c>
      <c r="G17" s="6">
        <v>0.762</v>
      </c>
      <c r="H17" s="7">
        <v>0</v>
      </c>
      <c r="I17" s="8">
        <v>0.46</v>
      </c>
      <c r="J17" s="8">
        <v>1.345</v>
      </c>
      <c r="K17" s="8">
        <v>0.48</v>
      </c>
      <c r="L17" s="8">
        <v>1.33</v>
      </c>
      <c r="M17" s="8">
        <v>1.08</v>
      </c>
      <c r="N17" s="8">
        <v>1.25</v>
      </c>
      <c r="O17" s="9">
        <v>1.71</v>
      </c>
      <c r="P17" s="9">
        <v>1.65</v>
      </c>
      <c r="Q17" s="9">
        <v>1.24</v>
      </c>
      <c r="R17" s="9">
        <v>1.11</v>
      </c>
      <c r="S17" s="10">
        <f t="shared" si="0"/>
        <v>1.475</v>
      </c>
      <c r="T17" s="10">
        <f t="shared" si="1"/>
        <v>1.38</v>
      </c>
    </row>
    <row r="18" ht="15" spans="1:20">
      <c r="A18" s="11"/>
      <c r="B18" s="11"/>
      <c r="C18" s="5" t="s">
        <v>88</v>
      </c>
      <c r="D18" s="6">
        <v>1</v>
      </c>
      <c r="E18" s="6">
        <v>0.3</v>
      </c>
      <c r="F18" s="6">
        <v>0.3</v>
      </c>
      <c r="G18" s="6">
        <v>1</v>
      </c>
      <c r="H18" s="7">
        <v>0</v>
      </c>
      <c r="I18" s="8">
        <v>0.8</v>
      </c>
      <c r="J18" s="8">
        <v>1</v>
      </c>
      <c r="K18" s="8">
        <v>1</v>
      </c>
      <c r="L18" s="8">
        <v>1</v>
      </c>
      <c r="M18" s="8">
        <v>1</v>
      </c>
      <c r="N18" s="8">
        <v>1</v>
      </c>
      <c r="O18" s="9">
        <v>1</v>
      </c>
      <c r="P18" s="9">
        <v>1</v>
      </c>
      <c r="Q18" s="9">
        <v>0.8</v>
      </c>
      <c r="R18" s="9">
        <v>1</v>
      </c>
      <c r="S18" s="10">
        <f t="shared" si="0"/>
        <v>0.9</v>
      </c>
      <c r="T18" s="10">
        <f t="shared" si="1"/>
        <v>1</v>
      </c>
    </row>
    <row r="19" ht="15" spans="1:20">
      <c r="A19" s="11"/>
      <c r="B19" s="5" t="s">
        <v>89</v>
      </c>
      <c r="C19" s="5" t="s">
        <v>90</v>
      </c>
      <c r="D19" s="6">
        <v>0</v>
      </c>
      <c r="E19" s="6">
        <v>0.282342857142857</v>
      </c>
      <c r="F19" s="6">
        <v>0.941142857142858</v>
      </c>
      <c r="G19" s="6">
        <v>0.282342857142857</v>
      </c>
      <c r="H19" s="7">
        <v>3.13714285714286</v>
      </c>
      <c r="I19" s="8">
        <v>3.19480519480521</v>
      </c>
      <c r="J19" s="8">
        <v>3.3216342199068</v>
      </c>
      <c r="K19" s="8">
        <v>2</v>
      </c>
      <c r="L19" s="8">
        <v>4</v>
      </c>
      <c r="M19" s="8">
        <v>2.96185737976783</v>
      </c>
      <c r="N19" s="8">
        <v>4</v>
      </c>
      <c r="O19" s="9">
        <v>2.55071781595669</v>
      </c>
      <c r="P19" s="9">
        <v>3.62574213882577</v>
      </c>
      <c r="Q19" s="9">
        <v>2.41065967671475</v>
      </c>
      <c r="R19" s="9">
        <v>2</v>
      </c>
      <c r="S19" s="10">
        <f t="shared" si="0"/>
        <v>2.48068874633572</v>
      </c>
      <c r="T19" s="10">
        <f t="shared" si="1"/>
        <v>2.81287106941288</v>
      </c>
    </row>
    <row r="20" ht="15" spans="1:20">
      <c r="A20" s="11"/>
      <c r="B20" s="11"/>
      <c r="C20" s="5" t="s">
        <v>91</v>
      </c>
      <c r="D20" s="6">
        <v>0</v>
      </c>
      <c r="E20" s="6">
        <v>0.9</v>
      </c>
      <c r="F20" s="6">
        <v>3</v>
      </c>
      <c r="G20" s="6">
        <v>0.9</v>
      </c>
      <c r="H20" s="7">
        <v>3</v>
      </c>
      <c r="I20" s="8">
        <v>2</v>
      </c>
      <c r="J20" s="8">
        <v>2</v>
      </c>
      <c r="K20" s="8">
        <v>2</v>
      </c>
      <c r="L20" s="8">
        <v>2</v>
      </c>
      <c r="M20" s="8">
        <v>2</v>
      </c>
      <c r="N20" s="8">
        <v>2</v>
      </c>
      <c r="O20" s="9">
        <v>3</v>
      </c>
      <c r="P20" s="9">
        <v>3</v>
      </c>
      <c r="Q20" s="9">
        <v>3</v>
      </c>
      <c r="R20" s="9">
        <v>3</v>
      </c>
      <c r="S20" s="10">
        <f t="shared" si="0"/>
        <v>3</v>
      </c>
      <c r="T20" s="10">
        <f t="shared" si="1"/>
        <v>3</v>
      </c>
    </row>
    <row r="21" ht="15" spans="1:20">
      <c r="A21" s="11"/>
      <c r="B21" s="11"/>
      <c r="C21" s="5" t="s">
        <v>92</v>
      </c>
      <c r="D21" s="6">
        <v>3</v>
      </c>
      <c r="E21" s="6">
        <v>1.8</v>
      </c>
      <c r="F21" s="6">
        <v>1.8</v>
      </c>
      <c r="G21" s="6">
        <v>0.54</v>
      </c>
      <c r="H21" s="7">
        <v>0.9</v>
      </c>
      <c r="I21" s="8">
        <v>3</v>
      </c>
      <c r="J21" s="8">
        <v>3</v>
      </c>
      <c r="K21" s="8">
        <v>3</v>
      </c>
      <c r="L21" s="8">
        <v>3</v>
      </c>
      <c r="M21" s="8">
        <v>3</v>
      </c>
      <c r="N21" s="8">
        <v>3</v>
      </c>
      <c r="O21" s="9">
        <v>3</v>
      </c>
      <c r="P21" s="9">
        <v>3</v>
      </c>
      <c r="Q21" s="9">
        <v>3</v>
      </c>
      <c r="R21" s="9">
        <v>3</v>
      </c>
      <c r="S21" s="10">
        <f t="shared" si="0"/>
        <v>3</v>
      </c>
      <c r="T21" s="10">
        <f t="shared" si="1"/>
        <v>3</v>
      </c>
    </row>
    <row r="22" ht="15" spans="1:20">
      <c r="A22" s="11"/>
      <c r="B22" s="11"/>
      <c r="C22" s="11"/>
      <c r="D22" s="6">
        <v>0</v>
      </c>
      <c r="E22" s="6">
        <v>0.27</v>
      </c>
      <c r="F22" s="6">
        <v>0.9</v>
      </c>
      <c r="G22" s="6">
        <v>0.27</v>
      </c>
      <c r="H22" s="7">
        <v>3</v>
      </c>
      <c r="I22" s="8">
        <v>2.791236030199</v>
      </c>
      <c r="J22" s="8">
        <v>3</v>
      </c>
      <c r="K22" s="8">
        <v>2.91676337464246</v>
      </c>
      <c r="L22" s="8">
        <v>3</v>
      </c>
      <c r="M22" s="8">
        <v>2.65681507490191</v>
      </c>
      <c r="N22" s="8">
        <v>3</v>
      </c>
      <c r="O22" s="9">
        <v>2</v>
      </c>
      <c r="P22" s="9">
        <v>1.72822717435807</v>
      </c>
      <c r="Q22" s="9">
        <v>1.89794636195861</v>
      </c>
      <c r="R22" s="9">
        <v>1.69480730153851</v>
      </c>
      <c r="S22" s="10">
        <f t="shared" si="0"/>
        <v>1.9489731809793</v>
      </c>
      <c r="T22" s="10">
        <f t="shared" si="1"/>
        <v>1.71151723794829</v>
      </c>
    </row>
    <row r="23" ht="15" spans="1:20">
      <c r="A23" s="11"/>
      <c r="B23" s="5" t="s">
        <v>93</v>
      </c>
      <c r="C23" s="5" t="s">
        <v>94</v>
      </c>
      <c r="D23" s="6">
        <v>0</v>
      </c>
      <c r="E23" s="6">
        <v>0.18</v>
      </c>
      <c r="F23" s="6">
        <v>0.6</v>
      </c>
      <c r="G23" s="6">
        <v>0.18</v>
      </c>
      <c r="H23" s="6">
        <v>1</v>
      </c>
      <c r="I23" s="12">
        <v>1</v>
      </c>
      <c r="J23" s="12">
        <v>1</v>
      </c>
      <c r="K23" s="12">
        <v>1</v>
      </c>
      <c r="L23" s="12">
        <v>1</v>
      </c>
      <c r="M23" s="12">
        <v>1</v>
      </c>
      <c r="N23" s="12">
        <v>1</v>
      </c>
      <c r="O23" s="13"/>
      <c r="P23" s="13"/>
      <c r="Q23" s="13"/>
      <c r="R23" s="13"/>
      <c r="S23" s="14"/>
      <c r="T23" s="14"/>
    </row>
    <row r="24" ht="15" spans="1:20">
      <c r="A24" s="11"/>
      <c r="B24" s="11"/>
      <c r="C24" s="5" t="s">
        <v>95</v>
      </c>
      <c r="D24" s="6">
        <v>0</v>
      </c>
      <c r="E24" s="6">
        <v>0.36</v>
      </c>
      <c r="F24" s="6">
        <v>1.2</v>
      </c>
      <c r="G24" s="6">
        <v>0.36</v>
      </c>
      <c r="H24" s="6">
        <v>2</v>
      </c>
      <c r="I24" s="8">
        <v>2</v>
      </c>
      <c r="J24" s="8">
        <v>2</v>
      </c>
      <c r="K24" s="8">
        <v>2</v>
      </c>
      <c r="L24" s="8">
        <v>2</v>
      </c>
      <c r="M24" s="8">
        <v>2</v>
      </c>
      <c r="N24" s="8">
        <v>2</v>
      </c>
      <c r="O24" s="13"/>
      <c r="P24" s="13"/>
      <c r="Q24" s="13"/>
      <c r="R24" s="13"/>
      <c r="S24" s="14"/>
      <c r="T24" s="14"/>
    </row>
    <row r="25" ht="15" spans="1:20">
      <c r="A25" s="11"/>
      <c r="B25" s="11"/>
      <c r="C25" s="5" t="s">
        <v>96</v>
      </c>
      <c r="D25" s="6">
        <v>0</v>
      </c>
      <c r="E25" s="6">
        <v>0.18</v>
      </c>
      <c r="F25" s="6">
        <v>0.6</v>
      </c>
      <c r="G25" s="6">
        <v>0.18</v>
      </c>
      <c r="H25" s="6">
        <v>2</v>
      </c>
      <c r="I25" s="8">
        <v>3</v>
      </c>
      <c r="J25" s="8">
        <v>3</v>
      </c>
      <c r="K25" s="8">
        <v>3</v>
      </c>
      <c r="L25" s="8">
        <v>3</v>
      </c>
      <c r="M25" s="8">
        <v>3</v>
      </c>
      <c r="N25" s="8">
        <v>3</v>
      </c>
      <c r="O25" s="13"/>
      <c r="P25" s="13"/>
      <c r="Q25" s="13"/>
      <c r="R25" s="13"/>
      <c r="S25" s="14"/>
      <c r="T25" s="14"/>
    </row>
    <row r="26" ht="15" spans="1:20">
      <c r="A26" s="15" t="s">
        <v>97</v>
      </c>
      <c r="B26" s="15" t="s">
        <v>97</v>
      </c>
      <c r="C26" s="16" t="s">
        <v>98</v>
      </c>
      <c r="D26" s="6" t="s">
        <v>78</v>
      </c>
      <c r="E26" s="6" t="s">
        <v>78</v>
      </c>
      <c r="F26" s="6" t="s">
        <v>78</v>
      </c>
      <c r="G26" s="6" t="s">
        <v>78</v>
      </c>
      <c r="H26" s="6" t="s">
        <v>78</v>
      </c>
      <c r="I26" s="9" t="s">
        <v>78</v>
      </c>
      <c r="J26" s="9" t="s">
        <v>78</v>
      </c>
      <c r="K26" s="9" t="s">
        <v>78</v>
      </c>
      <c r="L26" s="9" t="s">
        <v>78</v>
      </c>
      <c r="M26" s="9" t="s">
        <v>78</v>
      </c>
      <c r="N26" s="9" t="s">
        <v>78</v>
      </c>
      <c r="O26" s="17" t="s">
        <v>78</v>
      </c>
      <c r="P26" s="17" t="s">
        <v>78</v>
      </c>
      <c r="Q26" s="17" t="s">
        <v>78</v>
      </c>
      <c r="R26" s="17" t="s">
        <v>78</v>
      </c>
      <c r="S26" s="17" t="s">
        <v>78</v>
      </c>
      <c r="T26" s="17" t="s">
        <v>78</v>
      </c>
    </row>
    <row r="27" ht="15" spans="1:20">
      <c r="A27" s="16"/>
      <c r="B27" s="16"/>
      <c r="C27" s="15" t="s">
        <v>99</v>
      </c>
      <c r="D27" s="6">
        <v>0</v>
      </c>
      <c r="E27" s="6">
        <v>0.63</v>
      </c>
      <c r="F27" s="6">
        <v>2.1</v>
      </c>
      <c r="G27" s="6">
        <v>0.63</v>
      </c>
      <c r="H27" s="6">
        <v>7</v>
      </c>
      <c r="I27" s="8">
        <v>0.283500000000001</v>
      </c>
      <c r="J27" s="8">
        <v>7</v>
      </c>
      <c r="K27" s="8">
        <v>2.422</v>
      </c>
      <c r="L27" s="8">
        <v>7</v>
      </c>
      <c r="M27" s="8">
        <v>5.5545</v>
      </c>
      <c r="N27" s="8">
        <v>7</v>
      </c>
      <c r="O27" s="17">
        <v>7</v>
      </c>
      <c r="P27" s="17">
        <v>7</v>
      </c>
      <c r="Q27" s="17">
        <v>7</v>
      </c>
      <c r="R27" s="18">
        <v>7</v>
      </c>
      <c r="S27" s="19">
        <f t="shared" ref="S27:S33" si="2">(O27+Q27)/2</f>
        <v>7</v>
      </c>
      <c r="T27" s="19">
        <f t="shared" ref="T27:T33" si="3">(P27+R27)/2</f>
        <v>7</v>
      </c>
    </row>
    <row r="28" ht="15" spans="1:20">
      <c r="A28" s="15" t="s">
        <v>100</v>
      </c>
      <c r="B28" s="15" t="s">
        <v>100</v>
      </c>
      <c r="C28" s="15" t="s">
        <v>101</v>
      </c>
      <c r="D28" s="6">
        <v>2</v>
      </c>
      <c r="E28" s="6">
        <v>1.2</v>
      </c>
      <c r="F28" s="6">
        <v>1.2</v>
      </c>
      <c r="G28" s="6">
        <v>2</v>
      </c>
      <c r="H28" s="6">
        <v>2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17">
        <v>0</v>
      </c>
      <c r="P28" s="17">
        <v>0</v>
      </c>
      <c r="Q28" s="17">
        <v>0</v>
      </c>
      <c r="R28" s="18">
        <v>0</v>
      </c>
      <c r="S28" s="10">
        <f t="shared" si="2"/>
        <v>0</v>
      </c>
      <c r="T28" s="10">
        <f t="shared" si="3"/>
        <v>0</v>
      </c>
    </row>
    <row r="29" ht="15" spans="1:20">
      <c r="A29" s="16"/>
      <c r="B29" s="16"/>
      <c r="C29" s="15" t="s">
        <v>102</v>
      </c>
      <c r="D29" s="6">
        <v>-1.2</v>
      </c>
      <c r="E29" s="6">
        <v>-1.2</v>
      </c>
      <c r="F29" s="6">
        <v>-1.2</v>
      </c>
      <c r="G29" s="6">
        <v>-1.2</v>
      </c>
      <c r="H29" s="6">
        <v>-1.2</v>
      </c>
      <c r="I29" s="8">
        <v>0</v>
      </c>
      <c r="J29" s="8">
        <v>0</v>
      </c>
      <c r="K29" s="8">
        <v>-0.8</v>
      </c>
      <c r="L29" s="8">
        <v>0</v>
      </c>
      <c r="M29" s="8">
        <v>0</v>
      </c>
      <c r="N29" s="8">
        <v>-0.8</v>
      </c>
      <c r="O29" s="17">
        <v>0</v>
      </c>
      <c r="P29" s="17">
        <v>-0.8</v>
      </c>
      <c r="Q29" s="17">
        <v>0</v>
      </c>
      <c r="R29" s="18">
        <v>0</v>
      </c>
      <c r="S29" s="10">
        <f t="shared" si="2"/>
        <v>0</v>
      </c>
      <c r="T29" s="10">
        <f t="shared" si="3"/>
        <v>-0.4</v>
      </c>
    </row>
    <row r="30" ht="15.6" spans="1:20">
      <c r="A30" s="20" t="s">
        <v>103</v>
      </c>
      <c r="B30" s="21"/>
      <c r="C30" s="21"/>
      <c r="D30" s="13"/>
      <c r="E30" s="13"/>
      <c r="F30" s="13"/>
      <c r="G30" s="13"/>
      <c r="H30" s="13"/>
      <c r="I30" s="8">
        <v>10</v>
      </c>
      <c r="J30" s="8">
        <v>10</v>
      </c>
      <c r="K30" s="8">
        <v>10</v>
      </c>
      <c r="L30" s="8">
        <v>10</v>
      </c>
      <c r="M30" s="8">
        <v>10</v>
      </c>
      <c r="N30" s="8">
        <v>10</v>
      </c>
      <c r="O30" s="17">
        <v>10</v>
      </c>
      <c r="P30" s="17">
        <v>10</v>
      </c>
      <c r="Q30" s="17">
        <v>10</v>
      </c>
      <c r="R30" s="18">
        <v>10</v>
      </c>
      <c r="S30" s="10">
        <f t="shared" si="2"/>
        <v>10</v>
      </c>
      <c r="T30" s="10">
        <f t="shared" si="3"/>
        <v>10</v>
      </c>
    </row>
    <row r="31" ht="15" spans="1:20">
      <c r="A31" s="15" t="s">
        <v>104</v>
      </c>
      <c r="B31" s="15" t="s">
        <v>104</v>
      </c>
      <c r="C31" s="15" t="s">
        <v>105</v>
      </c>
      <c r="D31" s="6">
        <v>52.01</v>
      </c>
      <c r="E31" s="6">
        <v>49.7485883116883</v>
      </c>
      <c r="F31" s="6">
        <v>52.2237337662338</v>
      </c>
      <c r="G31" s="6">
        <v>52.3116883116883</v>
      </c>
      <c r="H31" s="6">
        <v>58.6798701298701</v>
      </c>
      <c r="I31" s="8">
        <v>10</v>
      </c>
      <c r="J31" s="8">
        <v>10</v>
      </c>
      <c r="K31" s="8">
        <v>10</v>
      </c>
      <c r="L31" s="8">
        <v>10</v>
      </c>
      <c r="M31" s="8">
        <v>10</v>
      </c>
      <c r="N31" s="8">
        <v>10</v>
      </c>
      <c r="O31" s="17">
        <v>0</v>
      </c>
      <c r="P31" s="17">
        <v>0</v>
      </c>
      <c r="Q31" s="17">
        <v>0</v>
      </c>
      <c r="R31" s="18">
        <v>0</v>
      </c>
      <c r="S31" s="10">
        <f t="shared" si="2"/>
        <v>0</v>
      </c>
      <c r="T31" s="10">
        <f t="shared" si="3"/>
        <v>0</v>
      </c>
    </row>
    <row r="32" ht="15.6" spans="1:20">
      <c r="A32" s="22" t="s">
        <v>106</v>
      </c>
      <c r="B32" s="23"/>
      <c r="C32" s="23"/>
      <c r="D32" s="6">
        <v>89.2109777015437</v>
      </c>
      <c r="E32" s="6">
        <v>94.2743761828469</v>
      </c>
      <c r="F32" s="6">
        <v>93.5071329744561</v>
      </c>
      <c r="G32" s="6">
        <v>93.1144327370742</v>
      </c>
      <c r="H32" s="24">
        <v>90.8357122753408</v>
      </c>
      <c r="I32" s="8">
        <v>85.5295412250042</v>
      </c>
      <c r="J32" s="8">
        <v>91.7516342199068</v>
      </c>
      <c r="K32" s="8">
        <v>82.9687633746424</v>
      </c>
      <c r="L32" s="8">
        <v>96.94</v>
      </c>
      <c r="M32" s="8">
        <v>88.4031724546698</v>
      </c>
      <c r="N32" s="8">
        <v>91.675</v>
      </c>
      <c r="O32" s="17">
        <v>95.5407178159567</v>
      </c>
      <c r="P32" s="17">
        <v>94.4839693131838</v>
      </c>
      <c r="Q32" s="17">
        <v>92.0886060386734</v>
      </c>
      <c r="R32" s="18">
        <v>91.3248073015385</v>
      </c>
      <c r="S32" s="10">
        <f t="shared" si="2"/>
        <v>93.8146619273151</v>
      </c>
      <c r="T32" s="10">
        <f t="shared" si="3"/>
        <v>92.9043883073612</v>
      </c>
    </row>
    <row r="33" ht="15.6" spans="1:20">
      <c r="A33" s="22" t="s">
        <v>107</v>
      </c>
      <c r="B33" s="23"/>
      <c r="C33" s="23"/>
      <c r="D33" s="6">
        <v>89.2109777015437</v>
      </c>
      <c r="E33" s="25">
        <v>93.6319806314591</v>
      </c>
      <c r="F33" s="25"/>
      <c r="G33" s="25"/>
      <c r="H33" s="24">
        <v>90.8357122753408</v>
      </c>
      <c r="I33" s="26">
        <v>88.1747847680456</v>
      </c>
      <c r="J33" s="26">
        <v>94.5893136287699</v>
      </c>
      <c r="K33" s="26">
        <v>85.5348076027242</v>
      </c>
      <c r="L33" s="26">
        <v>99.9381443298969</v>
      </c>
      <c r="M33" s="26">
        <v>91.1372911903812</v>
      </c>
      <c r="N33" s="27">
        <v>94.5103092783505</v>
      </c>
      <c r="O33" s="17">
        <v>98.4955853772749</v>
      </c>
      <c r="P33" s="17">
        <v>97.4061539311174</v>
      </c>
      <c r="Q33" s="17">
        <v>94.9367072563643</v>
      </c>
      <c r="R33" s="18">
        <v>94.1492858778748</v>
      </c>
      <c r="S33" s="10">
        <f t="shared" si="2"/>
        <v>96.7161463168196</v>
      </c>
      <c r="T33" s="10">
        <f t="shared" si="3"/>
        <v>95.7777199044961</v>
      </c>
    </row>
  </sheetData>
  <mergeCells count="32">
    <mergeCell ref="E1:G1"/>
    <mergeCell ref="A32:C32"/>
    <mergeCell ref="A33:C33"/>
    <mergeCell ref="E33:G33"/>
    <mergeCell ref="A3:A10"/>
    <mergeCell ref="A11:A25"/>
    <mergeCell ref="A26:A27"/>
    <mergeCell ref="A28:A29"/>
    <mergeCell ref="B3:B4"/>
    <mergeCell ref="B5:B7"/>
    <mergeCell ref="B8:B10"/>
    <mergeCell ref="B13:B14"/>
    <mergeCell ref="B15:B18"/>
    <mergeCell ref="B19:B22"/>
    <mergeCell ref="B23:B25"/>
    <mergeCell ref="B26:B27"/>
    <mergeCell ref="B28:B29"/>
    <mergeCell ref="C1:C2"/>
    <mergeCell ref="C21:C2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A1:B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河南省分公司</Company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市场线</vt:lpstr>
      <vt:lpstr>政企线</vt:lpstr>
      <vt:lpstr>网络线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2026-07-23T09:19:55Z</dcterms:created>
  <dcterms:modified xsi:type="dcterms:W3CDTF">2026-07-23T10:55:35Z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40BADA87CE054D149481ADAC314D0992_13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