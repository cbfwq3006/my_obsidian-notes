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6月" sheetId="1" r:id="rId1"/>
    <sheet name="一部两中心" sheetId="2" r:id="rId2"/>
    <sheet name="县" sheetId="3" r:id="rId3"/>
    <sheet name="区" sheetId="4" r:id="rId4"/>
    <sheet name="排名" sheetId="5" r:id="rId5"/>
  </sheets>
  <definedNames>
    <definedName name="_xlnm._FilterDatabase" localSheetId="0" hidden="1">'6月'!$1:$1048575</definedName>
    <definedName name="_xlnm._FilterDatabase" localSheetId="4" hidden="1">排名!$A$1:$E$14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<sst xmlns="http://schemas.openxmlformats.org/spreadsheetml/2006/main" count="619" uniqueCount="160">
  <si>
    <t>考核维度</t>
  </si>
  <si>
    <t>考核分值</t>
  </si>
  <si>
    <t>考核指标</t>
  </si>
  <si>
    <t>分值</t>
  </si>
  <si>
    <t>指标定义</t>
  </si>
  <si>
    <t>考核细则</t>
  </si>
  <si>
    <t>涉及单位</t>
  </si>
  <si>
    <t>责任主管</t>
  </si>
  <si>
    <t>焦作整体得分</t>
  </si>
  <si>
    <t>修武</t>
  </si>
  <si>
    <t>博爱</t>
  </si>
  <si>
    <t>武陟</t>
  </si>
  <si>
    <t>沁阳</t>
  </si>
  <si>
    <t>孟州</t>
  </si>
  <si>
    <t>温县</t>
  </si>
  <si>
    <t>山阳</t>
  </si>
  <si>
    <t>解放</t>
  </si>
  <si>
    <t>马村</t>
  </si>
  <si>
    <t>中站</t>
  </si>
  <si>
    <t>核心功能（45%）</t>
  </si>
  <si>
    <t>网络运营</t>
  </si>
  <si>
    <t>故障管控（10分）</t>
  </si>
  <si>
    <t>（1）故障次数管控（8分）
 ①指标定义
根据网络规模分地市设定S级故障发生次数管控目标，S1/S2/S3/S4级故障分别按照10次、5次、2次、1次折合故障次数。焦作目标值21。</t>
  </si>
  <si>
    <t>（1）故障次数管控（8分）
①计分办法
次数低于管控目标不扣分，高于管控目标，每超出管控目标1次扣0.05分，扣完为止。
②评价规则及数据来源
该指标按年度考核，数据来源于云网格系统。
（2）S级故障（2分）
①计分办法
a.发生S1级故障，每次扣罚0.1分;发生S2级故障，每次扣罚0.05分，扣完为止。
b.出现因人为操作不当、非割接时段动网、隐患未排查发现、隐患未及时整改引起故障的，乘系数1.2进行扣分。
②评价规则及数据来源
该指标按年度考核，数据来源于云网格系统。</t>
  </si>
  <si>
    <t>网络部、交付中心、网运中心</t>
  </si>
  <si>
    <t>薛培延</t>
  </si>
  <si>
    <t>能力提升（2分）</t>
  </si>
  <si>
    <t>（1）指标定义
内外部认证：，指从事线路、动力、无线、ip等专业等相关专业维护工作所涉及集团运维工程师、智网工程师、网络创新工程师以及与专业相关的外部认证。
六级人才：是指参与省公司网络线战略人才或技术人员7级工认证</t>
  </si>
  <si>
    <t>（2）计分办法
内外部认证占比=内外部认证人员数量/各单位专业人员总数；内部认证目标完成率100%。
①系统内部认证完成率，每低0.1%，扣1分；
②外部认证占比网络中心、交付考核目标30%，区县分公司考核目标15%，每低0.1%，扣1分；
③六级人才占比=六级人员数量/各单位专业人员总数要求10%以上，每低0.1%，扣1分
④科创能力认证通过率，以科创岗位族人数为依据，考核目标60%，每低0.1%，扣1分
⑤战略人才竞聘，各单位每新增或保持年审通过，加0.5分。
（3）评价规则及数据来源，
该指标为年度指标，数据来源省公司通报数据。</t>
  </si>
  <si>
    <t>薛培延、程亚浦</t>
  </si>
  <si>
    <t>网络服务提升</t>
  </si>
  <si>
    <t>移动网络满意度（5分）</t>
  </si>
  <si>
    <r>
      <rPr>
        <sz val="9"/>
        <color rgb="FF000000"/>
        <rFont val="Times New Roman"/>
        <charset val="134"/>
      </rPr>
      <t>1</t>
    </r>
    <r>
      <rPr>
        <sz val="9"/>
        <color rgb="FF000000"/>
        <rFont val="宋体"/>
        <charset val="134"/>
      </rPr>
      <t>、指标定义</t>
    </r>
    <r>
      <rPr>
        <sz val="10"/>
        <rFont val="宋体"/>
        <charset val="134"/>
      </rPr>
      <t xml:space="preserve">
</t>
    </r>
    <r>
      <rPr>
        <sz val="9"/>
        <color rgb="FF000000"/>
        <rFont val="宋体"/>
        <charset val="134"/>
      </rPr>
      <t>该指标由移动网络满意度、宽带网络满意度、智家工程师满意度三项指标构成。</t>
    </r>
  </si>
  <si>
    <r>
      <rPr>
        <sz val="9"/>
        <color rgb="FF000000"/>
        <rFont val="仿宋_GB2312"/>
        <charset val="134"/>
      </rPr>
      <t>计分办法：
（1）若满意度有全部明细能够区分各单位得分，按照省公司计分办法计算得分；
（2）否则按照低评用户占比计算得分：
①根据各单位语音及上网具体打分情况计算低分占比情况；
②得分1分的系数为1，2-6分系数为0.5，7-8系数为0.2；
③计算1-8分得分的占比情况后计算最终得分（满分10分）；
   1.当占比≤10%；得分=10</t>
    </r>
    <r>
      <rPr>
        <sz val="9"/>
        <color rgb="FF000000"/>
        <rFont val="Times New Roman"/>
        <charset val="134"/>
      </rPr>
      <t>−</t>
    </r>
    <r>
      <rPr>
        <sz val="9"/>
        <color rgb="FF000000"/>
        <rFont val="仿宋_GB2312"/>
        <charset val="134"/>
      </rPr>
      <t>0.09×低评用户占比×100；
   2.当占比介于10%和20%之间；得分=10</t>
    </r>
    <r>
      <rPr>
        <sz val="9"/>
        <color rgb="FF000000"/>
        <rFont val="Times New Roman"/>
        <charset val="134"/>
      </rPr>
      <t>−</t>
    </r>
    <r>
      <rPr>
        <sz val="9"/>
        <color rgb="FF000000"/>
        <rFont val="仿宋_GB2312"/>
        <charset val="134"/>
      </rPr>
      <t>0.11×低评用户占比×100；
   3.当占比≥20%；得分=10</t>
    </r>
    <r>
      <rPr>
        <sz val="9"/>
        <color rgb="FF000000"/>
        <rFont val="Times New Roman"/>
        <charset val="134"/>
      </rPr>
      <t>−</t>
    </r>
    <r>
      <rPr>
        <sz val="9"/>
        <color rgb="FF000000"/>
        <rFont val="仿宋_GB2312"/>
        <charset val="134"/>
      </rPr>
      <t>0.13×低评用户占比×100；
（3）最终移动网络满意度、宽带网络满意度折算为5分、智家工程师满意度折算为4分。</t>
    </r>
  </si>
  <si>
    <t>网络部、网运中心</t>
  </si>
  <si>
    <t>雷坤</t>
  </si>
  <si>
    <t>宽固网络满意度（5分）</t>
  </si>
  <si>
    <t>网络部、交付中心</t>
  </si>
  <si>
    <t>贾淑楠</t>
  </si>
  <si>
    <t>智家工程师满意度（4分）</t>
  </si>
  <si>
    <t>网运成本管控</t>
  </si>
  <si>
    <t>网络相关成本占收比（9分）</t>
  </si>
  <si>
    <t>（1）指标定义
网络相关成本占收比=（网络相关成本÷联网通信及其他业务收入）×100% 
网络相关成本占收比预算目标=（网络相关成本预算÷联网通信及其他业务收入预算）×100%
网络相关成本占收比预算完成率=网络相关成本占收比÷网络相关成本占收比预算目标，焦作目标值：15.01%</t>
  </si>
  <si>
    <t>（2）计分办法
①网络相关成本占收比预算完成率≤100%，得满分。
②网络相关成本占收比预算完成率&gt;100%，每超1PP扣本项分数的10%，线性得分。
（3）评价规则及数据来源
该指标按年度考核，数据来源于财务系统全成本报表。</t>
  </si>
  <si>
    <t>郭超凡</t>
  </si>
  <si>
    <r>
      <rPr>
        <sz val="9"/>
        <color rgb="FF000000"/>
        <rFont val="宋体"/>
        <charset val="134"/>
      </rPr>
      <t>铁塔差异管控（</t>
    </r>
    <r>
      <rPr>
        <sz val="9"/>
        <color rgb="FF000000"/>
        <rFont val="Times New Roman"/>
        <charset val="134"/>
      </rPr>
      <t>3</t>
    </r>
    <r>
      <rPr>
        <sz val="9"/>
        <color rgb="FF000000"/>
        <rFont val="宋体"/>
        <charset val="134"/>
      </rPr>
      <t>分）</t>
    </r>
  </si>
  <si>
    <t>（1）指标定义
该指标由2025年列账差异率、2025年月列账金额波动率、2023年至2025年订单退租及降配证据固化率三项指标构成。
①2025年列账差异率=1-联通列账金额÷铁塔列账金额× 100%,增量与存量一体化管控。
②2025年月列账金额波动幅度 =[（当月列账金额 - 上月列账金额）÷上月列账金额]×100%，考核剔除正常波动值
③2023年至2025年订单退租及降配证据固化率=通过审核的举证材料÷2023 年 1 月 1 日至 2025 年 12 月 31 日期间造成铁塔出账差异的订单退租及降配的举证材料× 100%。</t>
  </si>
  <si>
    <r>
      <rPr>
        <sz val="9"/>
        <color rgb="FF000000"/>
        <rFont val="仿宋_GB2312"/>
        <charset val="134"/>
      </rPr>
      <t>（2）计分办法
①2026年列账差异管控≤5%，分值2分。
2026年年度列账差异管控≤5%不扣分，超过5%得0分。
②单站租赁费≤ 1605元，分值1分。
单站租赁费≤ 1605元%不扣分，每超过 1元扣 0.1</t>
    </r>
    <r>
      <rPr>
        <sz val="9"/>
        <color rgb="FF000000"/>
        <rFont val="Arial"/>
        <charset val="134"/>
      </rPr>
      <t> </t>
    </r>
    <r>
      <rPr>
        <sz val="9"/>
        <color rgb="FF000000"/>
        <rFont val="仿宋_GB2312"/>
        <charset val="134"/>
      </rPr>
      <t>分。</t>
    </r>
  </si>
  <si>
    <t>王宁</t>
  </si>
  <si>
    <t>能耗成本（5分）</t>
  </si>
  <si>
    <t>（1）指标定义
能耗成本预算完成率=（全成本科目能耗成本实际完成值/能耗成本预算目标值）×100%
能耗成本压降=各单位压降目标完成值
焦作目标值：网络线能耗成本预算目标2739万元，其他能耗成本预算目标503.6万元
能耗成本压降100万</t>
  </si>
  <si>
    <r>
      <rPr>
        <sz val="9"/>
        <color rgb="FF000000"/>
        <rFont val="仿宋_GB2312"/>
        <charset val="134"/>
      </rPr>
      <t>（2）计分办法
①能耗成本预算完成率（4分）=网络线能耗成本完成率（3分）+其他能耗成本完成率（1分）
②实际完成值≤预算目标值得满分。
③实际完成值每超预算目标值1pp扣本项分数的10%，线性扣分，本指标分值扣完为止。</t>
    </r>
    <r>
      <rPr>
        <sz val="10"/>
        <rFont val="宋体"/>
        <charset val="134"/>
      </rPr>
      <t xml:space="preserve">
</t>
    </r>
    <r>
      <rPr>
        <sz val="9"/>
        <color rgb="FF000000"/>
        <rFont val="仿宋_GB2312"/>
        <charset val="134"/>
      </rPr>
      <t>④各单位实际完成目标压降比例线性得分，线性排名   
（3）评价规则及数据来源</t>
    </r>
    <r>
      <rPr>
        <sz val="10"/>
        <rFont val="宋体"/>
        <charset val="134"/>
      </rPr>
      <t xml:space="preserve">
</t>
    </r>
    <r>
      <rPr>
        <sz val="9"/>
        <color rgb="FF000000"/>
        <rFont val="仿宋_GB2312"/>
        <charset val="134"/>
      </rPr>
      <t>各单位实际完成率</t>
    </r>
  </si>
  <si>
    <t>运营提升   ( 55%)</t>
  </si>
  <si>
    <t>网络质量提升专项行动-工匠行动</t>
  </si>
  <si>
    <t>工匠行动年度得分排名（10分）</t>
  </si>
  <si>
    <t>1、指标定义
该指标指工匠行动年度积分排名。</t>
  </si>
  <si>
    <t>（2）计分办法
工匠行动年度积分第1名的市分公司对应得满分10分。
排名2至18名的市分公司，根据其工匠行动年度积分占第一名市分公司积分的比例，同比计算本项分数。
计算公式为：本项分数 = 10 ×（分公司积分 / 第一名分公司积分）
（3）评价规则及数据来源
该指标按年度考核，数据来源以省公司统一发布的工匠行动年度积分统计结果为准。</t>
  </si>
  <si>
    <t>封舒琪</t>
  </si>
  <si>
    <t>网络质量提升专项行动-极简网络</t>
  </si>
  <si>
    <t>极简网络年度综合评价（10分）</t>
  </si>
  <si>
    <t>1、指标定义
该指标由持续建强基础架构、常态化推进接入段光缆优化整治、提升整体运营能力三项指标构成。
（1）持续建强基础架构=2026年计划完成全量锚点机房实现网络天眼八大能力+锚点机房油机新建13台；
（2）常态化推进接入段光缆优化整治=投资307万，按照各单位序时任务分解完成序时进度。
（3）提升整体运营能力=完成103个架构节点机房数字化建模+284机房数字化验收。</t>
  </si>
  <si>
    <t>2、计分办法
（1）持续建强基础架构年底前完成100%，得2.9分，每低于1pp扣基本分*1%，扣完本项分值为止。
（2）常态化推进接入段光缆优化整治月度目标完成100%，得4分，每低于1pp扣基本分*1%，扣完本项分值为止。
（3）提升整体运营能力月度目标完成100%，得3分，每低于1pp扣基本分*1%，扣完本项分值为止
（4）集团公司每采纳极简网络一个案例，对应市公司加0.1分。
（5）极简网络总体得分不超过10分。</t>
  </si>
  <si>
    <t>程亚浦、方玲珑、戴霜、白阳、王宁</t>
  </si>
  <si>
    <t>网络质量提升专项行动-网络运营安全深化年</t>
  </si>
  <si>
    <t>同路由整治处理（2分）</t>
  </si>
  <si>
    <t>1、指标定义
（1）所有达到S级机房完成纯物理双路由整改（包括同井，同馈窗）；
（2）所有上联业务完成不同环路整改。</t>
  </si>
  <si>
    <t>2、计分办法
（1）全量双路由整改年底前完成100%，得50%得分，每低于1pp扣0.2，扣完本项分值为止。
（2）上联业务不同环路整改二季度完成100%，得50%得分，每低于1pp扣0.2，扣完本项分值为止。</t>
  </si>
  <si>
    <t>戴霜</t>
  </si>
  <si>
    <t>网络安全事件（4分）</t>
  </si>
  <si>
    <t>（1）指标定义
该指标由账号管理安全事件、违规动网操作、违规数据配置、违规分光事件四项指标构成。</t>
  </si>
  <si>
    <t>（2）计分办法
①发生账号管理安全事件扣1分，最多扣1分。
②发现一起违规动网操作扣0.2分，因违规动网操作导致发生较大及以上网络故障或网络安全责任事件扣1分，最多扣1分。
③发现一起违规数据配置扣0.2分，因违规数据配置导致发生较大及以上网络故障或网络安全责任事件扣1分，最多扣1分。
④发生违规分光事件扣1分，因违规分光导致发生较大及以上网络故障或网络安全责任事件扣4分，最多扣4分。
⑤被上级单位通报的加倍扣分，最多扣4分。
（3）评价规则及数据来源
该指标按年度进行考核，数据来源于上级单位/省公司通报。</t>
  </si>
  <si>
    <t>网络服务提升专项行动-移网质量提升</t>
  </si>
  <si>
    <t>重点场景提升（3分）</t>
  </si>
  <si>
    <t>（1）指标定义
该指标由非住宅达标率、住宅专项（A类+千户覆盖达标率）、住宅专项（新建住宅覆盖达标率）、地下空间完成情况（上报及时率及地下空间建设目标完成率）四项指标组成。</t>
  </si>
  <si>
    <t>（2）计分办法
①非住宅场景达标100%（1分）
非住宅达标率100%满分，&lt;85%得0分，中间线性记分。
②A类+千户场景达标率100%（1分）
A类+千户移网覆盖达标率100%满分，&lt;85%得0分，中间线性记分。
③新建住宅场景达标率100%（0.5分）
新建住宅移网覆盖达标率100%满分，&lt;85%得0分，中间线性记分。
④工信部覆盖达标率100%（0.5分）
工信部覆盖达标率100%满分，&lt;85%得0分，中间线性记分。
区县建设任务得分取自本地市建设任务得分，每月低于当月建设目标值1%，则线性扣分0.1分，扣完为止。
（3）评价规则及数据来源
该指标按年度进行考核，数据来源于集团评估通报及省内自评。</t>
  </si>
  <si>
    <t>程亚浦</t>
  </si>
  <si>
    <t>移网问题栅格改善（3分）</t>
  </si>
  <si>
    <t>（1）指标定义
该指标指年度移网问题栅格改善率。
年度移网问题栅格改善率=12期拍照问题栅格改善数/本年12期拍照问题栅格数。
①移网问题栅格判定标准：逐月对月移网投诉量≥3或移网服请不满≥4的问题栅格拍照，认定移网问题栅格。
②问题栅格改善标准：移网问题栅格设定1个月的改善期，省分闭环解决网络问题，并保持改善效果；改善期后，如连续2个月投诉量＜3或移网服请不满＜4，视为问题栅格改善。</t>
  </si>
  <si>
    <t>（2）计分办法
①问题栅格改善率达标目标值80%。
②达标得满分3分，不达标0分。
（3）评价规则及数据来源
该指标按月跟踪通报，以全年累计改善率计算年度得分。数据来源于集团公司客户服务运营平台。</t>
  </si>
  <si>
    <t>业务感知提升（4分）</t>
  </si>
  <si>
    <r>
      <rPr>
        <sz val="9"/>
        <color rgb="FF000000"/>
        <rFont val="仿宋_GB2312"/>
        <charset val="134"/>
      </rPr>
      <t>（1）指标定义
该指标由语音业务良好体验率、语音业务感知掉话率、4G数据业务卡顿小区比例、5G数据业务卡顿小区比例、同站重复故障比例五项指标构成。
①语音业务良好体验率=语音业务良好体验次数/语音业务次数
a.语音业务良好体验次数</t>
    </r>
    <r>
      <rPr>
        <sz val="9"/>
        <color rgb="FF000000"/>
        <rFont val="Arial"/>
        <charset val="134"/>
      </rPr>
      <t> </t>
    </r>
    <r>
      <rPr>
        <sz val="9"/>
        <color rgb="FF000000"/>
        <rFont val="仿宋_GB2312"/>
        <charset val="134"/>
      </rPr>
      <t>=</t>
    </r>
    <r>
      <rPr>
        <sz val="9"/>
        <color rgb="FF000000"/>
        <rFont val="Arial"/>
        <charset val="134"/>
      </rPr>
      <t> </t>
    </r>
    <r>
      <rPr>
        <sz val="9"/>
        <color rgb="FF000000"/>
        <rFont val="仿宋_GB2312"/>
        <charset val="134"/>
      </rPr>
      <t>同时满足“接得通”、“接得快”、“听得清”、“不掉话”的业务次数</t>
    </r>
    <r>
      <rPr>
        <sz val="9"/>
        <color rgb="FF000000"/>
        <rFont val="Arial"/>
        <charset val="134"/>
      </rPr>
      <t> </t>
    </r>
    <r>
      <rPr>
        <sz val="9"/>
        <color rgb="FF000000"/>
        <rFont val="仿宋_GB2312"/>
        <charset val="134"/>
      </rPr>
      <t>，被叫为移动、电信、固网时，语音业务良好体验只需满足“接得通”、“听得清”、“不掉话”；
②语音业务感知掉话率=语音业务感知掉话次数/语音业务次数
针对双方都是联通移网用户的语音通话进行评价。如果二者之间上一次通话时长超过2秒钟，并且上一次通话结束后40秒之内又发起呼叫（上一次通话的主被叫发起呼叫皆可），排除第二次呼叫拒接、运营商测试以及短号码等因素之后，将上一次通话定义为语音业务感知掉话；
③4G数据业务卡顿小区比例=4G数据业务卡顿小区/4G小区总数
④5G数据业务卡顿小区比例=5G数据业务卡顿小区/5G小区总数
下行时延大于</t>
    </r>
    <r>
      <rPr>
        <sz val="9"/>
        <color rgb="FF000000"/>
        <rFont val="Arial"/>
        <charset val="134"/>
      </rPr>
      <t> </t>
    </r>
    <r>
      <rPr>
        <sz val="9"/>
        <color rgb="FF000000"/>
        <rFont val="仿宋_GB2312"/>
        <charset val="134"/>
      </rPr>
      <t>200ms</t>
    </r>
    <r>
      <rPr>
        <sz val="9"/>
        <color rgb="FF000000"/>
        <rFont val="Arial"/>
        <charset val="134"/>
      </rPr>
      <t> </t>
    </r>
    <r>
      <rPr>
        <sz val="9"/>
        <color rgb="FF000000"/>
        <rFont val="仿宋_GB2312"/>
        <charset val="134"/>
      </rPr>
      <t>概率超过</t>
    </r>
    <r>
      <rPr>
        <sz val="9"/>
        <color rgb="FF000000"/>
        <rFont val="Arial"/>
        <charset val="134"/>
      </rPr>
      <t> </t>
    </r>
    <r>
      <rPr>
        <sz val="9"/>
        <color rgb="FF000000"/>
        <rFont val="仿宋_GB2312"/>
        <charset val="134"/>
      </rPr>
      <t>10%，记为卡顿小区。(电信</t>
    </r>
    <r>
      <rPr>
        <sz val="9"/>
        <color rgb="FF000000"/>
        <rFont val="Arial"/>
        <charset val="134"/>
      </rPr>
      <t> </t>
    </r>
    <r>
      <rPr>
        <sz val="9"/>
        <color rgb="FF000000"/>
        <rFont val="仿宋_GB2312"/>
        <charset val="134"/>
      </rPr>
      <t>800M小区不纳入考核；联通</t>
    </r>
    <r>
      <rPr>
        <sz val="9"/>
        <color rgb="FF000000"/>
        <rFont val="Arial"/>
        <charset val="134"/>
      </rPr>
      <t> </t>
    </r>
    <r>
      <rPr>
        <sz val="9"/>
        <color rgb="FF000000"/>
        <rFont val="仿宋_GB2312"/>
        <charset val="134"/>
      </rPr>
      <t>900M</t>
    </r>
    <r>
      <rPr>
        <sz val="9"/>
        <color rgb="FF000000"/>
        <rFont val="Arial"/>
        <charset val="134"/>
      </rPr>
      <t> </t>
    </r>
    <r>
      <rPr>
        <sz val="9"/>
        <color rgb="FF000000"/>
        <rFont val="仿宋_GB2312"/>
        <charset val="134"/>
      </rPr>
      <t>小区时延大于</t>
    </r>
    <r>
      <rPr>
        <sz val="9"/>
        <color rgb="FF000000"/>
        <rFont val="Arial"/>
        <charset val="134"/>
      </rPr>
      <t> </t>
    </r>
    <r>
      <rPr>
        <sz val="9"/>
        <color rgb="FF000000"/>
        <rFont val="仿宋_GB2312"/>
        <charset val="134"/>
      </rPr>
      <t>200ms</t>
    </r>
    <r>
      <rPr>
        <sz val="9"/>
        <color rgb="FF000000"/>
        <rFont val="Arial"/>
        <charset val="134"/>
      </rPr>
      <t> </t>
    </r>
    <r>
      <rPr>
        <sz val="9"/>
        <color rgb="FF000000"/>
        <rFont val="仿宋_GB2312"/>
        <charset val="134"/>
      </rPr>
      <t>概率超过</t>
    </r>
    <r>
      <rPr>
        <sz val="9"/>
        <color rgb="FF000000"/>
        <rFont val="Arial"/>
        <charset val="134"/>
      </rPr>
      <t> </t>
    </r>
    <r>
      <rPr>
        <sz val="9"/>
        <color rgb="FF000000"/>
        <rFont val="仿宋_GB2312"/>
        <charset val="134"/>
      </rPr>
      <t>20%，记为卡顿小区。)
⑤同站重复故障比例=（当月同站重复故障数量+集码BBU原因造成的重复故障+连续两个月同站重复故障）/当月物理站址故障总量*100%。</t>
    </r>
  </si>
  <si>
    <t>（2）计分办法
①语音业务良好体验率≥97%（2分）
达标得满分，＜96%得0分，[96%,97%)线性打分。
②数据业务体验良好率≥97%（2分）
达标得满分，＜96%得0分，[96%,97%)线性打分。</t>
  </si>
  <si>
    <t>移网资源利用率（1分）</t>
  </si>
  <si>
    <t>（1）指标定义
该指标指综合考虑3.5GHz、2.1GHz、900M无线资源利用率情况，并基于各频段下行频率资源和小区数进行加权统计。
①移动资源利用率=[7*3.5GHz宏站小区规模*3.5GHz宏站小区无线资源利用率+2*2.1GHz（20M带宽）宏站小区规模*2.1GHz（20M带宽）宏站小区无线资源利用率+4*2.1GHz（40M带宽）宏站小区规模*2.1GHz（40M带宽）宏站小区无线资源利用率+900MHz宏站小区规模*900MHz宏站小区资源利用率]/(7*3.5GHz宏站小区规模+2*2.1GHz（20M带宽）宏站小区规模+4*2.1GHz（40M带宽）宏站小区规模+900MHz宏站小区规模)。
②5G中频宏站小区无线资源利用率=Σ(小区自忙时下行PDSCH信道占用PRB个数*相应PRB调用层数）/Σ(小区自忙时的每空分流下行PDSCH信道可用PRB个数*小区下行时域平均最大调度层数(剔除0值))/K值，其中5G中频包括3.5GHz、2.1GHz（20M带宽）、2.1GHz（40M带宽），Σ表示所有5G中频宏站按小区求和，K值取典型值50%。
③900MHz宏站小区资源利用率=（L900下行PRB占用数/L900下行PRB可用数）*L900小区数量占比+（NR900下行PRB占用数/NR900下行PRB可用数）*NR900小区数量占比。</t>
  </si>
  <si>
    <t>（2）计分办法
目标无线资源利用率≥30%。
①完成值大于等于达标值得满分；
②完成值低于基准值（2026年1月指标）不得分；
③完成值相较于2026年1月基准值未提升，得满分的80%；
④完成值低于达标值，但实现提升的，按照完成情况在满分与满分的80%之间线性计分。
（3）评价规则及数据来源
该指标按年度进行考核，数据来源于集团通报。</t>
  </si>
  <si>
    <t>网络服务提升专项行动-智家网络服务提升</t>
  </si>
  <si>
    <t>交付质量提升（4分）</t>
  </si>
  <si>
    <t>（1）指标定义
该指标由装维动作合格率、456标准修障达标率两项指标构成。
①装维动作合格率=1-不满足装维要求的装维动作总量/装维总量
②456标准修障达标率=（16点前生单且在456时限内修复的工单数+16点后生单且在第二天12:00前修复的工单数）/（本周期内的竣工单+所选周期结束时间的在途工单）</t>
  </si>
  <si>
    <t>（2）计分办法
①各项设定达标值和基准值，高于达标值得满分、低于基准值不得分，在达标值和基准值之间的线性计分。
②装维动作合格率（2分），达标值≥98.5%，基准值≥95%。
③456标准修障达标率（2分），达标值≥80%，基准值≥70%。
a.若修机当日好≥90%，456标准修障达标率评价值取实际完成值；
b.若修机当日好＜90%，456标准修障达标率评价值=456标准修障达标率实际完成值*修机当日好率。
（3）评价规则及数据来源
该指标按月评价计分，以月指标得分的均值计算年度得分。数据来源于宽带网络数字化运营平台、经营分析系统。</t>
  </si>
  <si>
    <t>宽带资源效能提升（3分）</t>
  </si>
  <si>
    <t>（1）指标定义
该指标由全量宽带端口利用率、存量资源准确率、新装宽带一次核配准确率三项指标构成。
①全量宽带端口利用率=所有接入方式下宽带占用端口数/（FTTH端口总量+PON_LAN数据端口总量）。
②新增号线资源规范率=四项标准都通过的新增末梢分光器/全量的新增末梢分光器
③新装宽带一次核配准确率=一次性完成资源核配并成功施工报竣的装移机工单数量/新装宽带工单总量*100％。</t>
  </si>
  <si>
    <t>（2）计分办法
各项设定基准值和达标值，高于达标值得满分、低于基准值不得分，在达标值和基准值之间的线性计分。
①全量宽带端口利用率（1分），分地市确定设置基准值、达标值。各地市目标如下：57.92%。
完成值≥达标值得1分；完成值低于基准值得0.8分；完成值低于达标值，但高于基准值的，按照提升值在1分与0.8分之间线性计分。
②新增号线资源规范率（1分）、新装宽带一次核配准确率（1分），基准值为≥82%，达标值为≥92%。
a.完成值≥92%得1分，完成值＜82%不得分，82%-92%之间线性打分。
b.新装宽带一次核配准确率具备打分条件之前，按照存量资源准确率打分；具备打分条件之后，按照两个子指标分别打分。
（3）评价规则及数据来源
①全量宽带端口利用率取12月数据进行评价；
②新增号线资源规范率Q1≥70%；Q2≥90%；Q3≥95%；Q4≥95%,未完成序时进度扣1分
③数据来源于号线资源分析系统、宽带网络数字化运营平台。</t>
  </si>
  <si>
    <t>客户感知提升（6分）</t>
  </si>
  <si>
    <t>（1）指标定义
该指标由PON口在服率、PON口质差率、全量宽带故障率（10010+96480）、宽带投诉率、网络服务感知综合评价四项指标构成。
其中网络服务综合感知评价=响应率*10%+解决率*40%+满意率*50%，包括投诉、故障和咨办工单。</t>
  </si>
  <si>
    <r>
      <rPr>
        <sz val="9"/>
        <color rgb="FF000000"/>
        <rFont val="SimSun"/>
        <charset val="134"/>
      </rPr>
      <t>（2）计分办法
①各项设定达标值和基准值，高于达标值得满分、低于基准值不得分，在达标值和基准值之间的线性计分。
②PON口在服率（1分），达标值≥99.5%，基准值≥99%。若当月出现规模故障，按次评价，每发生一次当月扣0.5分。
③PON口质差率（2分），达标值≤2.0%，基准值≤2.24%。若当月出现规模故障，按次评价，每发生一次当月扣0.5分。</t>
    </r>
    <r>
      <rPr>
        <sz val="10"/>
        <rFont val="宋体"/>
        <charset val="134"/>
      </rPr>
      <t xml:space="preserve">
</t>
    </r>
    <r>
      <rPr>
        <sz val="9"/>
        <color rgb="FF000000"/>
        <rFont val="SimSun"/>
        <charset val="134"/>
      </rPr>
      <t>（3）评价规则及数据来源
该指标按月评价计分，以月度得分均值计算年度得分。数据来源于宽带网络数字化运营平台、中国联通客服运营平台、经营分析系统。</t>
    </r>
  </si>
  <si>
    <t>（2）计分办法
①各项设定达标值和基准值，高于达标值得满分、低于基准值不得分，在达标值和基准值之间的线性计分。
③全量宽带故障率（1分），达标值≤90件/万户，基准值≤110件/万户。
④宽带投诉率（1分），达标值≤1.3件/万户，基准值≤4件/万户。
⑤网络服务综合感知评价（1分），达标值≥95%，基准值≥92%。
a.若96480服务满意率≥95%，网络服务综合感知评价取实际完成值；
b.若96480服务满意率＜95%，网络服务综合感知评价=网络服务综合感知评价实际完成值*96480服务满意率。
（3）评价规则及数据来源
该指标按月评价计分，以月度得分均值计算年度得分。数据来源于宽带网络数字化运营平台、中国联通客服运营平台、经营分析系统。</t>
  </si>
  <si>
    <t>网络服务提升专项行动-政企双线网络服务提升</t>
  </si>
  <si>
    <t>政企双线交付及时率（1分）</t>
  </si>
  <si>
    <t>（1）指标定义
该指标由全量宽带端口利用率、社会地址住宅小区全里末梢分光器准确率、新装宽带一次核配准确率三项、指标构成。
①全量宽带端口利用率=所有接入方式下宽带占用端口数/（FTTH端口总量+PON_LAN数据端口总量）。
②新装宽带一次核配准确率=一次性完成资源核配并成功施工报竣的装移机工单数量/新装宽带工单总量*100％。</t>
  </si>
  <si>
    <t>（2）计分办法
各项设定基准值和达标值，高于达标值得满分、低于基准值不得分，在达标值和基准值之间的线性计分。
①全量宽带端口利用率（1分），分地市确定设置基准值、达标值。各地市目标如下：57.92%。
完成值≥达标值得1分；完成值低于基准值得0.8分；完成值低于达标值，但高于基准值的，按照提升值在1分与0.8分之间线性计分。
②社会地址住宅小区全里末梢分光器准确率：4月之后保持成功率≥92%，每低目标值1个百分点，减0.5分
b.新装宽带一次核配准确率具备打分条件之前，按照存量资源准确率打分；具备打分条件之后，按照两个子指标分别打分。
（3）评价规则及数据来源
①全量宽带端口利用率取12月数据进行评价；
②新增号线资源规范率Q1≥70%；Q2≥90%；Q3≥95%；Q4≥95%,未完成序时进度扣1分
③数据来源于号线资源分析系统、宽带网络数字化运营平台。</t>
  </si>
  <si>
    <t>方玲珑</t>
  </si>
  <si>
    <t>政企双线故障管控（2分）</t>
  </si>
  <si>
    <t>（1）指标定义
该指标由政企双线故障4小时处理及时率、政企双线监控告警返单及时率两项指标构成。</t>
  </si>
  <si>
    <t>（2）计分办法
①政企双线故障4小时处理及时率=1-（不及时处理政企双线故障次数÷应处理政企双线故障总次数）×100%，满分1分，基本分0.8分，低于98%不得分，98%-100%之间线性得分，线性部分得分=0.2*（完成值-98%）/(100%-98%)；
②政企双线监控告警返单及时率=1-处理超时的政企双线告警工单数/政企双线告警工单总数，满分1分；
（3）评价规则及数据来源
该指标按月评价计分，以月度得分均值计算年度得分。数据来源于OSS2.0业务故障2.0、智慧派单系统。</t>
  </si>
  <si>
    <t>政企双线资源治理（2分）</t>
  </si>
  <si>
    <t>（1）指标定义
该指标由政企双线电路拼接、政企双线末端光设施绑定标准地址完整率、B-O-O数据一致性稽核、资源一次自动核配成功率、互联网专线自动开通成功率构成。
互联网专线自动开通成功率=全程自动核配成功率*数据自动制作成功率</t>
  </si>
  <si>
    <t>（2）计分办法
①政企电路拼接完成率：4月之后保持成功率≥98.5%，每低目标值1个百分点，减0.5分
②政企双线末端光设施绑定标准地址完整率=绑定的政企电路数/全量政企电路数，4月之后保持成功率≥98.5%，每低目标值1个百分点，减0.5分
③ 双线BOO数据一致率=BO数据一致率*0.4+OO数据一致率*0.6
1、BO数据一致率=BO数量一致率*0.3+BO状态一致率*0.3+BO速率一致率*0.3+BO类型一致率*0.1
注：“BO数量、状态、速率、类型一致率”指B域系统与O域网络资源系统数据稽核一致率。
2、OO数据一致率=OO数量一致率*0.4+OO状态一致率*0.3+OO速率一致率*0.3。目标值96%，完成目标得满分，每低目标值1个百分点，减0.3分.
④资源一次自动核配成功率：4月≥10%；5月≥20%；6月≥30%；7月≥40%；8月≥50%；9月≥60%；10月≥70%；11月以后≥80%，每低目标值1个百分点，减0.3分
⑤互联网专线自动开通成功率
4月-6月基准值20%、达标值30%，≥30%得满分，&lt;20%不得分，中间线性得分
7月-9月基准值30%、达标值60%，≥60%得满分，&lt;30%不得分，中间线性得分
10月-12月基准值60%、达标值90%，≥90%得满分，&lt;60%不得分，中间线性得分
（3）评价规则及数据来源
该指标按月评价计分，以月度得分均值计算年度得分。数据来源于网络资源中心、B域客户订单、O域网络资源中心和O域网管系统、云网格系统。</t>
  </si>
  <si>
    <t>端网业协同</t>
  </si>
  <si>
    <t>5G登网率</t>
  </si>
  <si>
    <t>（1）指标定义
5G签约用户5G终端登网</t>
  </si>
  <si>
    <t>（2）计分办法
月度清单制推进5G终端SA开关打开，按月度目标完成率在60%到100%间线性得分，低于60%不得分</t>
  </si>
  <si>
    <t>/</t>
  </si>
  <si>
    <t>千兆化</t>
  </si>
  <si>
    <t>（1）指标定义
该指标由路由器压降目标完成率、低速通道整治完成率、终端匹配套餐升级整治完成率组成构成。</t>
  </si>
  <si>
    <t>（2）计分办法
按时序进度完成率进行考核，达标不扣分，不达标线性扣分。</t>
  </si>
  <si>
    <t>公司KPI保障</t>
  </si>
  <si>
    <t>科技创新（2分）</t>
  </si>
  <si>
    <t>（1）指标定义
科技创新研发投入贡献</t>
  </si>
  <si>
    <t>①科技创新研发项目无项目扣1分
②每月工时未及时录入扣1分</t>
  </si>
  <si>
    <t>反诈治理</t>
  </si>
  <si>
    <t>(1)指标定义
该指标由涉案号码治理、政企业务涉案治理、信安工单综合评价率、“内鬼”事件四项指标组成。</t>
  </si>
  <si>
    <t>（2）计分方法
指标A:涉案号码治理(1.5分)：1、A1涉案电话号码（含手机号码和固话号码）数量同比下降，得0.5分，同比上升60%得0分，在此之间线性得分。2、当地行业移动电话号码涉案占比偏差率（简称“A2”）：A2≤0.9得1分，A2&gt;1.5不得分，在此之间线性计分。
指标B:政企业务涉案治理（2分）：行业短信端口年度涉案量≤15，得1分；政企固话业务年度涉案量≤2，得1分，或涉案量系统内占比低于用户数占比得1分，高于10个百分点得0分，在此之间线性得分。
指标C：信安工单综合评价率（1分）：2026年信安工单综合评价率全年月均达到92.6%及以上的，得1分；90%-92.6%线性得分，低于90%不得分；
指标D：“内鬼”事件（0.5分） 市场发展、业务合作、IT支撑、渠道管理、网络运营及建设等领域，2026年没有新发生的“内鬼”事件，得满分；发生内鬼事件，视情况扣0.2-0.5分。</t>
  </si>
  <si>
    <t>约束事项</t>
  </si>
  <si>
    <t>±5</t>
  </si>
  <si>
    <t>正负项激励</t>
  </si>
  <si>
    <t>总分</t>
  </si>
  <si>
    <t>得分</t>
  </si>
  <si>
    <t>网运中心</t>
  </si>
  <si>
    <t>网络部</t>
  </si>
  <si>
    <t>交付中心</t>
  </si>
  <si>
    <t>田泽方</t>
  </si>
  <si>
    <t>王静波</t>
  </si>
  <si>
    <t>任娟</t>
  </si>
  <si>
    <t>范帅帅</t>
  </si>
  <si>
    <t>陈冠霖</t>
  </si>
  <si>
    <r>
      <rPr>
        <sz val="9"/>
        <color rgb="FF000000"/>
        <rFont val="Times New Roman"/>
        <charset val="134"/>
      </rPr>
      <t>1</t>
    </r>
    <r>
      <rPr>
        <sz val="9"/>
        <color rgb="FF000000"/>
        <rFont val="宋体"/>
        <charset val="134"/>
      </rPr>
      <t>、指标定义</t>
    </r>
    <r>
      <rPr>
        <sz val="9"/>
        <color rgb="FF000000"/>
        <rFont val="Times New Roman"/>
        <charset val="134"/>
      </rPr>
      <t xml:space="preserve">
</t>
    </r>
    <r>
      <rPr>
        <sz val="9"/>
        <color rgb="FF000000"/>
        <rFont val="宋体"/>
        <charset val="134"/>
      </rPr>
      <t>该指标由移动网络满意度、宽带网络满意度、智家工程师满意度三项指标构成。</t>
    </r>
  </si>
  <si>
    <t>铁塔差异管控（3分）</t>
  </si>
  <si>
    <r>
      <rPr>
        <sz val="10"/>
        <rFont val="仿宋_GB2312"/>
        <charset val="134"/>
      </rPr>
      <t>2、计分办法</t>
    </r>
    <r>
      <rPr>
        <sz val="10"/>
        <rFont val="宋体"/>
        <charset val="134"/>
      </rPr>
      <t xml:space="preserve">
</t>
    </r>
    <r>
      <rPr>
        <sz val="10"/>
        <rFont val="仿宋_GB2312"/>
        <charset val="134"/>
      </rPr>
      <t>（1）全量双路由整改年底前完成100%，得50%得分，每低于1pp扣0.2，扣完本项分值为止。</t>
    </r>
    <r>
      <rPr>
        <sz val="10"/>
        <rFont val="宋体"/>
        <charset val="134"/>
      </rPr>
      <t xml:space="preserve">
</t>
    </r>
    <r>
      <rPr>
        <sz val="10"/>
        <rFont val="仿宋_GB2312"/>
        <charset val="134"/>
      </rPr>
      <t>（2）上联业务不同环路整改二季度完成100%，得50%得分，每低于1pp扣0.2，扣完本项分值为止。</t>
    </r>
  </si>
  <si>
    <r>
      <rPr>
        <sz val="9"/>
        <rFont val="SimSun"/>
        <charset val="134"/>
      </rPr>
      <t>（2）计分办法
①各项设定达标值和基准值，高于达标值得满分、低于基准值不得分，在达标值和基准值之间的线性计分。
②PON口在服率（1分），达标值≥99.5%，基准值≥99%。若当月出现规模故障，按次评价，每发生一次当月扣0.5分。
③PON口质差率（2分），达标值≤2.0%，基准值≤2.24%。若当月出现规模故障，按次评价，每发生一次当月扣0.5分。</t>
    </r>
    <r>
      <rPr>
        <sz val="9"/>
        <rFont val="宋体"/>
        <charset val="134"/>
      </rPr>
      <t xml:space="preserve">
</t>
    </r>
    <r>
      <rPr>
        <sz val="9"/>
        <rFont val="SimSun"/>
        <charset val="134"/>
      </rPr>
      <t>（3）评价规则及数据来源
该指标按月评价计分，以月度得分均值计算年度得分。数据来源于宽带网络数字化运营平台、中国联通客服运营平台、经营分析系统。</t>
    </r>
  </si>
  <si>
    <t>本地分值</t>
  </si>
  <si>
    <t>县公司拟定分值</t>
  </si>
  <si>
    <t>1、指标定义
该指标由移动网络满意度、宽带网络满意度、智家工程师满意度三项指标构成。</t>
  </si>
  <si>
    <r>
      <rPr>
        <sz val="12"/>
        <color rgb="FF000000"/>
        <rFont val="仿宋_GB2312"/>
        <charset val="134"/>
      </rPr>
      <t>计分办法：
（1）若满意度有全部明细能够区分各单位得分，按照省公司计分办法计算得分；
（2）否则按照低评用户占比计算得分：
①根据各单位语音及上网具体打分情况计算低分占比情况；
②得分1分的系数为1，2-6分系数为0.5，7-8系数为0.2；
③计算1-8分得分的占比情况后计算最终得分（满分10分）；
   1.当占比≤10%；得分=10</t>
    </r>
    <r>
      <rPr>
        <sz val="12"/>
        <color rgb="FF000000"/>
        <rFont val="宋体"/>
        <charset val="134"/>
      </rPr>
      <t>−</t>
    </r>
    <r>
      <rPr>
        <sz val="12"/>
        <color rgb="FF000000"/>
        <rFont val="仿宋_GB2312"/>
        <charset val="134"/>
      </rPr>
      <t>0.09×低评用户占比×100；
   2.当占比介于10%和20%之间；得分=10</t>
    </r>
    <r>
      <rPr>
        <sz val="12"/>
        <color rgb="FF000000"/>
        <rFont val="宋体"/>
        <charset val="134"/>
      </rPr>
      <t>−</t>
    </r>
    <r>
      <rPr>
        <sz val="12"/>
        <color rgb="FF000000"/>
        <rFont val="仿宋_GB2312"/>
        <charset val="134"/>
      </rPr>
      <t>0.11×低评用户占比×100；
   3.当占比≥20%；得分=10</t>
    </r>
    <r>
      <rPr>
        <sz val="12"/>
        <color rgb="FF000000"/>
        <rFont val="宋体"/>
        <charset val="134"/>
      </rPr>
      <t>−</t>
    </r>
    <r>
      <rPr>
        <sz val="12"/>
        <color rgb="FF000000"/>
        <rFont val="仿宋_GB2312"/>
        <charset val="134"/>
      </rPr>
      <t>0.13×低评用户占比×100；
（3）最终移动网络满意度、宽带网络满意度折算为5分、智家工程师满意度折算为4分。</t>
    </r>
  </si>
  <si>
    <t>（2）计分办法
①2026年列账差异管控≤5%，分值2分。
2026年年度列账差异管控≤5%不扣分，超过5%得0分。
②单站租赁费≤ 1605元，分值1分。
单站租赁费≤ 1605元%不扣分，每超过 1元扣 0.1 分。</t>
  </si>
  <si>
    <r>
      <rPr>
        <sz val="12"/>
        <color rgb="FF000000"/>
        <rFont val="仿宋_GB2312"/>
        <charset val="134"/>
      </rPr>
      <t>（2）计分办法
①能耗成本预算完成率（4分）=网络线能耗成本完成率（3分）+其他能耗成本完成率（1分）
②实际完成值≤预算目标值得满分。
③实际完成值每超预算目标值1pp扣本项分数的10%，线性扣分，本指标分值扣完为止。</t>
    </r>
    <r>
      <rPr>
        <sz val="10"/>
        <rFont val="宋体"/>
        <charset val="134"/>
      </rPr>
      <t xml:space="preserve">
</t>
    </r>
    <r>
      <rPr>
        <sz val="12"/>
        <color rgb="FF000000"/>
        <rFont val="仿宋_GB2312"/>
        <charset val="134"/>
      </rPr>
      <t>④各单位实际完成目标压降比例线性得分，线性排名   
（3）评价规则及数据来源</t>
    </r>
    <r>
      <rPr>
        <sz val="10"/>
        <rFont val="宋体"/>
        <charset val="134"/>
      </rPr>
      <t xml:space="preserve">
</t>
    </r>
    <r>
      <rPr>
        <sz val="12"/>
        <color rgb="FF000000"/>
        <rFont val="仿宋_GB2312"/>
        <charset val="134"/>
      </rPr>
      <t>各单位实际完成率</t>
    </r>
  </si>
  <si>
    <t>运营提升   ( 55%)</t>
  </si>
  <si>
    <r>
      <rPr>
        <sz val="12"/>
        <rFont val="仿宋_GB2312"/>
        <charset val="134"/>
      </rPr>
      <t>2、计分办法</t>
    </r>
    <r>
      <rPr>
        <sz val="10"/>
        <rFont val="宋体"/>
        <charset val="134"/>
      </rPr>
      <t xml:space="preserve">
</t>
    </r>
    <r>
      <rPr>
        <sz val="12"/>
        <rFont val="仿宋_GB2312"/>
        <charset val="134"/>
      </rPr>
      <t>（1）全量双路由整改年底前完成100%，得50%得分，每低于1pp扣0.2，扣完本项分值为止。</t>
    </r>
    <r>
      <rPr>
        <sz val="10"/>
        <rFont val="宋体"/>
        <charset val="134"/>
      </rPr>
      <t xml:space="preserve">
</t>
    </r>
    <r>
      <rPr>
        <sz val="12"/>
        <rFont val="仿宋_GB2312"/>
        <charset val="134"/>
      </rPr>
      <t>（2）上联业务不同环路整改二季度完成100%，得50%得分，每低于1pp扣0.2，扣完本项分值为止。</t>
    </r>
  </si>
  <si>
    <r>
      <rPr>
        <sz val="12"/>
        <color rgb="FF000000"/>
        <rFont val="仿宋_GB2312"/>
        <charset val="134"/>
      </rPr>
      <t>（1）指标定义
该指标由语音业务良好体验率、语音业务感知掉话率、4G数据业务卡顿小区比例、5G数据业务卡顿小区比例、同站重复故障比例五项指标构成。
①语音业务良好体验率=语音业务良好体验次数/语音业务次数
a.语音业务良好体验次数</t>
    </r>
    <r>
      <rPr>
        <sz val="12"/>
        <color rgb="FF000000"/>
        <rFont val="Arial"/>
        <charset val="134"/>
      </rPr>
      <t> </t>
    </r>
    <r>
      <rPr>
        <sz val="12"/>
        <color rgb="FF000000"/>
        <rFont val="仿宋_GB2312"/>
        <charset val="134"/>
      </rPr>
      <t>=</t>
    </r>
    <r>
      <rPr>
        <sz val="12"/>
        <color rgb="FF000000"/>
        <rFont val="Arial"/>
        <charset val="134"/>
      </rPr>
      <t> </t>
    </r>
    <r>
      <rPr>
        <sz val="12"/>
        <color rgb="FF000000"/>
        <rFont val="仿宋_GB2312"/>
        <charset val="134"/>
      </rPr>
      <t>同时满足“接得通”、“接得快”、“听得清”、“不掉话”的业务次数</t>
    </r>
    <r>
      <rPr>
        <sz val="12"/>
        <color rgb="FF000000"/>
        <rFont val="Arial"/>
        <charset val="134"/>
      </rPr>
      <t> </t>
    </r>
    <r>
      <rPr>
        <sz val="12"/>
        <color rgb="FF000000"/>
        <rFont val="仿宋_GB2312"/>
        <charset val="134"/>
      </rPr>
      <t>，被叫为移动、电信、固网时，语音业务良好体验只需满足“接得通”、“听得清”、“不掉话”；
②语音业务感知掉话率=语音业务感知掉话次数/语音业务次数
针对双方都是联通移网用户的语音通话进行评价。如果二者之间上一次通话时长超过2秒钟，并且上一次通话结束后40秒之内又发起呼叫（上一次通话的主被叫发起呼叫皆可），排除第二次呼叫拒接、运营商测试以及短号码等因素之后，将上一次通话定义为语音业务感知掉话；
③4G数据业务卡顿小区比例=4G数据业务卡顿小区/4G小区总数
④5G数据业务卡顿小区比例=5G数据业务卡顿小区/5G小区总数
下行时延大于</t>
    </r>
    <r>
      <rPr>
        <sz val="12"/>
        <color rgb="FF000000"/>
        <rFont val="Arial"/>
        <charset val="134"/>
      </rPr>
      <t> </t>
    </r>
    <r>
      <rPr>
        <sz val="12"/>
        <color rgb="FF000000"/>
        <rFont val="仿宋_GB2312"/>
        <charset val="134"/>
      </rPr>
      <t>200ms</t>
    </r>
    <r>
      <rPr>
        <sz val="12"/>
        <color rgb="FF000000"/>
        <rFont val="Arial"/>
        <charset val="134"/>
      </rPr>
      <t> </t>
    </r>
    <r>
      <rPr>
        <sz val="12"/>
        <color rgb="FF000000"/>
        <rFont val="仿宋_GB2312"/>
        <charset val="134"/>
      </rPr>
      <t>概率超过</t>
    </r>
    <r>
      <rPr>
        <sz val="12"/>
        <color rgb="FF000000"/>
        <rFont val="Arial"/>
        <charset val="134"/>
      </rPr>
      <t> </t>
    </r>
    <r>
      <rPr>
        <sz val="12"/>
        <color rgb="FF000000"/>
        <rFont val="仿宋_GB2312"/>
        <charset val="134"/>
      </rPr>
      <t>10%，记为卡顿小区。(电信</t>
    </r>
    <r>
      <rPr>
        <sz val="12"/>
        <color rgb="FF000000"/>
        <rFont val="Arial"/>
        <charset val="134"/>
      </rPr>
      <t> </t>
    </r>
    <r>
      <rPr>
        <sz val="12"/>
        <color rgb="FF000000"/>
        <rFont val="仿宋_GB2312"/>
        <charset val="134"/>
      </rPr>
      <t>800M小区不纳入考核；联通</t>
    </r>
    <r>
      <rPr>
        <sz val="12"/>
        <color rgb="FF000000"/>
        <rFont val="Arial"/>
        <charset val="134"/>
      </rPr>
      <t> </t>
    </r>
    <r>
      <rPr>
        <sz val="12"/>
        <color rgb="FF000000"/>
        <rFont val="仿宋_GB2312"/>
        <charset val="134"/>
      </rPr>
      <t>900M</t>
    </r>
    <r>
      <rPr>
        <sz val="12"/>
        <color rgb="FF000000"/>
        <rFont val="Arial"/>
        <charset val="134"/>
      </rPr>
      <t> </t>
    </r>
    <r>
      <rPr>
        <sz val="12"/>
        <color rgb="FF000000"/>
        <rFont val="仿宋_GB2312"/>
        <charset val="134"/>
      </rPr>
      <t>小区时延大于</t>
    </r>
    <r>
      <rPr>
        <sz val="12"/>
        <color rgb="FF000000"/>
        <rFont val="Arial"/>
        <charset val="134"/>
      </rPr>
      <t> </t>
    </r>
    <r>
      <rPr>
        <sz val="12"/>
        <color rgb="FF000000"/>
        <rFont val="仿宋_GB2312"/>
        <charset val="134"/>
      </rPr>
      <t>200ms</t>
    </r>
    <r>
      <rPr>
        <sz val="12"/>
        <color rgb="FF000000"/>
        <rFont val="Arial"/>
        <charset val="134"/>
      </rPr>
      <t> </t>
    </r>
    <r>
      <rPr>
        <sz val="12"/>
        <color rgb="FF000000"/>
        <rFont val="仿宋_GB2312"/>
        <charset val="134"/>
      </rPr>
      <t>概率超过</t>
    </r>
    <r>
      <rPr>
        <sz val="12"/>
        <color rgb="FF000000"/>
        <rFont val="Arial"/>
        <charset val="134"/>
      </rPr>
      <t> </t>
    </r>
    <r>
      <rPr>
        <sz val="12"/>
        <color rgb="FF000000"/>
        <rFont val="仿宋_GB2312"/>
        <charset val="134"/>
      </rPr>
      <t>20%，记为卡顿小区。)
⑤同站重复故障比例=（当月同站重复故障数量+集码BBU原因造成的重复故障+连续两个月同站重复故障）/当月物理站址故障总量*100%。</t>
    </r>
  </si>
  <si>
    <r>
      <rPr>
        <sz val="12"/>
        <rFont val="SimSun"/>
        <charset val="134"/>
      </rPr>
      <t>（2）计分办法
①各项设定达标值和基准值，高于达标值得满分、低于基准值不得分，在达标值和基准值之间的线性计分。
②PON口在服率（1分），达标值≥99.5%，基准值≥99%。若当月出现规模故障，按次评价，每发生一次当月扣0.5分。
③PON口质差率（2分），达标值≤2.0%，基准值≤2.24%。若当月出现规模故障，按次评价，每发生一次当月扣0.5分。</t>
    </r>
    <r>
      <rPr>
        <sz val="10"/>
        <rFont val="宋体"/>
        <charset val="134"/>
      </rPr>
      <t xml:space="preserve">
</t>
    </r>
    <r>
      <rPr>
        <sz val="12"/>
        <rFont val="SimSun"/>
        <charset val="134"/>
      </rPr>
      <t>（3）评价规则及数据来源
该指标按月评价计分，以月度得分均值计算年度得分。数据来源于宽带网络数字化运营平台、中国联通客服运营平台、经营分析系统。</t>
    </r>
  </si>
  <si>
    <t>（1）指标定义
该指标由政企双线故障4小时处理及时率、政企双线监控告警返单及时率两项指标构成。
国内跨域双线故障率=（政企客户跨域双线故障次数÷政企客户跨域双线电路总数）×100%。</t>
  </si>
  <si>
    <t>（2）计分办法
①政企双线故障4小时处理及时率=1-（不及时处理政企双线故障次数÷应处理政企双线故障总次数）×100%，满分1分，基本分0.8分，低于98%不得分，98%-100%之间线性得分，线性部分得分=0.2*（完成值-98%）/(100%-98%)；
②政企双线监控告警返单及时率=1-处理超时的政企双线告警工单数/政企双线告警工单总数，满分1分；
③国内跨域双线故障率，目标值：≤1.0%，满分1分。
（3）评价规则及数据来源
该指标按月评价计分，以月度得分均值计算年度得分。数据来源于OSS2.0业务故障2.0、智慧派单系统。</t>
  </si>
  <si>
    <t>县公司KPI排名</t>
  </si>
  <si>
    <t>按每月财务部公布各单位KPI得分，最终得分=实际得分/10，最高得10分</t>
  </si>
  <si>
    <t>区公司拟定分值</t>
  </si>
  <si>
    <t>宽固网络满意度（4分）</t>
  </si>
  <si>
    <t>网络相关成本占收比（6分）</t>
  </si>
  <si>
    <t>铁塔差异管控（2分）</t>
  </si>
  <si>
    <t>区公司KPI排名</t>
  </si>
  <si>
    <t>单位</t>
  </si>
  <si>
    <t>排名</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</si>
</sst>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s>
  <fonts count="46">
    <font>
      <sz val="12"/>
      <color theme="1"/>
      <name val="等线"/>
      <charset val="134"/>
      <scheme val="minor"/>
    </font>
    <font>
      <b/>
      <sz val="11"/>
      <color theme="1"/>
      <name val="宋体"/>
      <charset val="134"/>
    </font>
    <font>
      <sz val="11"/>
      <color theme="1"/>
      <name val="等线"/>
      <charset val="134"/>
      <scheme val="minor"/>
    </font>
    <font>
      <b/>
      <sz val="12"/>
      <name val="仿宋_GB2312"/>
      <charset val="134"/>
    </font>
    <font>
      <b/>
      <sz val="11"/>
      <color rgb="FFFFFFFF"/>
      <name val="宋体"/>
      <charset val="134"/>
    </font>
    <font>
      <sz val="12"/>
      <color rgb="FF000000"/>
      <name val="仿宋_GB2312"/>
      <charset val="134"/>
    </font>
    <font>
      <sz val="11"/>
      <color rgb="FF000000"/>
      <name val="宋体"/>
      <charset val="134"/>
    </font>
    <font>
      <sz val="12"/>
      <name val="仿宋_GB2312"/>
      <charset val="134"/>
    </font>
    <font>
      <sz val="12"/>
      <name val="SimSun"/>
      <charset val="134"/>
    </font>
    <font>
      <b/>
      <sz val="11"/>
      <color rgb="FFFFFFFF"/>
      <name val="Times New Roman"/>
      <charset val="134"/>
    </font>
    <font>
      <sz val="9"/>
      <color rgb="FF000000"/>
      <name val="Times New Roman"/>
      <charset val="134"/>
    </font>
    <font>
      <sz val="9"/>
      <color rgb="FF000000"/>
      <name val="仿宋_GB2312"/>
      <charset val="134"/>
    </font>
    <font>
      <sz val="10"/>
      <name val="仿宋_GB2312"/>
      <charset val="134"/>
    </font>
    <font>
      <sz val="9"/>
      <name val="Times New Roman"/>
      <charset val="134"/>
    </font>
    <font>
      <sz val="10"/>
      <color rgb="FF000000"/>
      <name val="仿宋_GB2312"/>
      <charset val="134"/>
    </font>
    <font>
      <sz val="9"/>
      <name val="仿宋_GB2312"/>
      <charset val="134"/>
    </font>
    <font>
      <sz val="9"/>
      <name val="SimSun"/>
      <charset val="134"/>
    </font>
    <font>
      <sz val="10"/>
      <color rgb="FF000000"/>
      <name val="Times New Roman"/>
      <charset val="134"/>
    </font>
    <font>
      <sz val="10"/>
      <name val="等线"/>
      <charset val="134"/>
      <scheme val="minor"/>
    </font>
    <font>
      <sz val="10"/>
      <color theme="1"/>
      <name val="等线"/>
      <charset val="134"/>
      <scheme val="minor"/>
    </font>
    <font>
      <sz val="9"/>
      <color rgb="FF000000"/>
      <name val="宋体"/>
      <charset val="134"/>
    </font>
    <font>
      <sz val="9"/>
      <color rgb="FF000000"/>
      <name val="SimSun"/>
      <charset val="134"/>
    </font>
    <font>
      <u/>
      <sz val="10"/>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宋体"/>
      <charset val="134"/>
    </font>
    <font>
      <sz val="9"/>
      <color rgb="FF000000"/>
      <name val="Arial"/>
      <charset val="134"/>
    </font>
    <font>
      <sz val="9"/>
      <name val="宋体"/>
      <charset val="134"/>
    </font>
    <font>
      <sz val="12"/>
      <color rgb="FF000000"/>
      <name val="Arial"/>
      <charset val="134"/>
    </font>
    <font>
      <sz val="12"/>
      <color rgb="FF000000"/>
      <name val="宋体"/>
      <charset val="134"/>
    </font>
  </fonts>
  <fills count="36">
    <fill>
      <patternFill patternType="none"/>
    </fill>
    <fill>
      <patternFill patternType="gray125"/>
    </fill>
    <fill>
      <patternFill patternType="solid">
        <fgColor rgb="FFC00000"/>
        <bgColor indexed="64"/>
      </patternFill>
    </fill>
    <fill>
      <patternFill patternType="solid">
        <fgColor rgb="FF00B050"/>
        <bgColor indexed="64"/>
      </patternFill>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auto="1"/>
      </left>
      <right style="thin">
        <color auto="1"/>
      </right>
      <top style="thin">
        <color rgb="FF000000"/>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 fillId="5" borderId="12" applyNumberFormat="0" applyFont="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13" applyNumberFormat="0" applyFill="0" applyAlignment="0" applyProtection="0">
      <alignment vertical="center"/>
    </xf>
    <xf numFmtId="0" fontId="28" fillId="0" borderId="13" applyNumberFormat="0" applyFill="0" applyAlignment="0" applyProtection="0">
      <alignment vertical="center"/>
    </xf>
    <xf numFmtId="0" fontId="29" fillId="0" borderId="14" applyNumberFormat="0" applyFill="0" applyAlignment="0" applyProtection="0">
      <alignment vertical="center"/>
    </xf>
    <xf numFmtId="0" fontId="29" fillId="0" borderId="0" applyNumberFormat="0" applyFill="0" applyBorder="0" applyAlignment="0" applyProtection="0">
      <alignment vertical="center"/>
    </xf>
    <xf numFmtId="0" fontId="30" fillId="6" borderId="15" applyNumberFormat="0" applyAlignment="0" applyProtection="0">
      <alignment vertical="center"/>
    </xf>
    <xf numFmtId="0" fontId="31" fillId="7" borderId="16" applyNumberFormat="0" applyAlignment="0" applyProtection="0">
      <alignment vertical="center"/>
    </xf>
    <xf numFmtId="0" fontId="32" fillId="7" borderId="15" applyNumberFormat="0" applyAlignment="0" applyProtection="0">
      <alignment vertical="center"/>
    </xf>
    <xf numFmtId="0" fontId="33" fillId="8" borderId="17" applyNumberFormat="0" applyAlignment="0" applyProtection="0">
      <alignment vertical="center"/>
    </xf>
    <xf numFmtId="0" fontId="34" fillId="0" borderId="18" applyNumberFormat="0" applyFill="0" applyAlignment="0" applyProtection="0">
      <alignment vertical="center"/>
    </xf>
    <xf numFmtId="0" fontId="35" fillId="0" borderId="19" applyNumberFormat="0" applyFill="0" applyAlignment="0" applyProtection="0">
      <alignment vertical="center"/>
    </xf>
    <xf numFmtId="0" fontId="36" fillId="9" borderId="0" applyNumberFormat="0" applyBorder="0" applyAlignment="0" applyProtection="0">
      <alignment vertical="center"/>
    </xf>
    <xf numFmtId="0" fontId="37" fillId="10" borderId="0" applyNumberFormat="0" applyBorder="0" applyAlignment="0" applyProtection="0">
      <alignment vertical="center"/>
    </xf>
    <xf numFmtId="0" fontId="38" fillId="11" borderId="0" applyNumberFormat="0" applyBorder="0" applyAlignment="0" applyProtection="0">
      <alignment vertical="center"/>
    </xf>
    <xf numFmtId="0" fontId="39" fillId="12" borderId="0" applyNumberFormat="0" applyBorder="0" applyAlignment="0" applyProtection="0">
      <alignment vertical="center"/>
    </xf>
    <xf numFmtId="0" fontId="40" fillId="13" borderId="0" applyNumberFormat="0" applyBorder="0" applyAlignment="0" applyProtection="0">
      <alignment vertical="center"/>
    </xf>
    <xf numFmtId="0" fontId="40" fillId="14" borderId="0" applyNumberFormat="0" applyBorder="0" applyAlignment="0" applyProtection="0">
      <alignment vertical="center"/>
    </xf>
    <xf numFmtId="0" fontId="39" fillId="15" borderId="0" applyNumberFormat="0" applyBorder="0" applyAlignment="0" applyProtection="0">
      <alignment vertical="center"/>
    </xf>
    <xf numFmtId="0" fontId="39" fillId="16" borderId="0" applyNumberFormat="0" applyBorder="0" applyAlignment="0" applyProtection="0">
      <alignment vertical="center"/>
    </xf>
    <xf numFmtId="0" fontId="40" fillId="17" borderId="0" applyNumberFormat="0" applyBorder="0" applyAlignment="0" applyProtection="0">
      <alignment vertical="center"/>
    </xf>
    <xf numFmtId="0" fontId="40" fillId="18" borderId="0" applyNumberFormat="0" applyBorder="0" applyAlignment="0" applyProtection="0">
      <alignment vertical="center"/>
    </xf>
    <xf numFmtId="0" fontId="39" fillId="19" borderId="0" applyNumberFormat="0" applyBorder="0" applyAlignment="0" applyProtection="0">
      <alignment vertical="center"/>
    </xf>
    <xf numFmtId="0" fontId="39" fillId="20" borderId="0" applyNumberFormat="0" applyBorder="0" applyAlignment="0" applyProtection="0">
      <alignment vertical="center"/>
    </xf>
    <xf numFmtId="0" fontId="40" fillId="21" borderId="0" applyNumberFormat="0" applyBorder="0" applyAlignment="0" applyProtection="0">
      <alignment vertical="center"/>
    </xf>
    <xf numFmtId="0" fontId="40" fillId="22" borderId="0" applyNumberFormat="0" applyBorder="0" applyAlignment="0" applyProtection="0">
      <alignment vertical="center"/>
    </xf>
    <xf numFmtId="0" fontId="39" fillId="23" borderId="0" applyNumberFormat="0" applyBorder="0" applyAlignment="0" applyProtection="0">
      <alignment vertical="center"/>
    </xf>
    <xf numFmtId="0" fontId="39" fillId="24" borderId="0" applyNumberFormat="0" applyBorder="0" applyAlignment="0" applyProtection="0">
      <alignment vertical="center"/>
    </xf>
    <xf numFmtId="0" fontId="40" fillId="25" borderId="0" applyNumberFormat="0" applyBorder="0" applyAlignment="0" applyProtection="0">
      <alignment vertical="center"/>
    </xf>
    <xf numFmtId="0" fontId="40" fillId="26" borderId="0" applyNumberFormat="0" applyBorder="0" applyAlignment="0" applyProtection="0">
      <alignment vertical="center"/>
    </xf>
    <xf numFmtId="0" fontId="39" fillId="27" borderId="0" applyNumberFormat="0" applyBorder="0" applyAlignment="0" applyProtection="0">
      <alignment vertical="center"/>
    </xf>
    <xf numFmtId="0" fontId="39" fillId="28" borderId="0" applyNumberFormat="0" applyBorder="0" applyAlignment="0" applyProtection="0">
      <alignment vertical="center"/>
    </xf>
    <xf numFmtId="0" fontId="40" fillId="29" borderId="0" applyNumberFormat="0" applyBorder="0" applyAlignment="0" applyProtection="0">
      <alignment vertical="center"/>
    </xf>
    <xf numFmtId="0" fontId="40" fillId="30" borderId="0" applyNumberFormat="0" applyBorder="0" applyAlignment="0" applyProtection="0">
      <alignment vertical="center"/>
    </xf>
    <xf numFmtId="0" fontId="39" fillId="31" borderId="0" applyNumberFormat="0" applyBorder="0" applyAlignment="0" applyProtection="0">
      <alignment vertical="center"/>
    </xf>
    <xf numFmtId="0" fontId="39" fillId="32" borderId="0" applyNumberFormat="0" applyBorder="0" applyAlignment="0" applyProtection="0">
      <alignment vertical="center"/>
    </xf>
    <xf numFmtId="0" fontId="40" fillId="33" borderId="0" applyNumberFormat="0" applyBorder="0" applyAlignment="0" applyProtection="0">
      <alignment vertical="center"/>
    </xf>
    <xf numFmtId="0" fontId="40" fillId="34" borderId="0" applyNumberFormat="0" applyBorder="0" applyAlignment="0" applyProtection="0">
      <alignment vertical="center"/>
    </xf>
    <xf numFmtId="0" fontId="39" fillId="35" borderId="0" applyNumberFormat="0" applyBorder="0" applyAlignment="0" applyProtection="0">
      <alignment vertical="center"/>
    </xf>
  </cellStyleXfs>
  <cellXfs count="84">
    <xf numFmtId="0" fontId="0" fillId="0" borderId="0" xfId="0">
      <alignment vertical="center"/>
    </xf>
    <xf numFmtId="0" fontId="1" fillId="0" borderId="1" xfId="0" applyFont="1" applyFill="1" applyBorder="1" applyAlignment="1">
      <alignment horizontal="center" vertical="center"/>
    </xf>
    <xf numFmtId="176" fontId="2" fillId="0" borderId="1" xfId="0" applyNumberFormat="1" applyFont="1" applyFill="1" applyBorder="1" applyAlignment="1">
      <alignment horizontal="center" vertical="center"/>
    </xf>
    <xf numFmtId="0" fontId="0" fillId="0" borderId="1" xfId="0" applyBorder="1" applyAlignment="1">
      <alignment horizontal="center" vertical="center"/>
    </xf>
    <xf numFmtId="0" fontId="3" fillId="0" borderId="1" xfId="0" applyFont="1" applyFill="1" applyBorder="1" applyAlignment="1" applyProtection="1">
      <alignment horizontal="center" vertical="center"/>
    </xf>
    <xf numFmtId="0" fontId="4" fillId="2" borderId="2" xfId="0" applyFont="1" applyFill="1" applyBorder="1" applyAlignment="1" applyProtection="1">
      <alignment horizontal="center" vertical="center" wrapText="1"/>
    </xf>
    <xf numFmtId="0" fontId="4" fillId="3" borderId="2" xfId="0" applyFont="1" applyFill="1" applyBorder="1" applyAlignment="1" applyProtection="1">
      <alignment horizontal="center" vertical="center" wrapText="1"/>
    </xf>
    <xf numFmtId="0" fontId="5" fillId="0" borderId="2" xfId="0" applyFont="1" applyFill="1" applyBorder="1" applyAlignment="1" applyProtection="1">
      <alignment horizontal="center" vertical="center"/>
    </xf>
    <xf numFmtId="0" fontId="5" fillId="0" borderId="3" xfId="0" applyFont="1" applyFill="1" applyBorder="1" applyAlignment="1" applyProtection="1">
      <alignment horizontal="center" vertical="center"/>
    </xf>
    <xf numFmtId="176" fontId="6" fillId="0" borderId="2" xfId="0" applyNumberFormat="1" applyFont="1" applyFill="1" applyBorder="1" applyAlignment="1" applyProtection="1">
      <alignment horizontal="center" vertical="center"/>
    </xf>
    <xf numFmtId="176" fontId="6" fillId="0" borderId="2" xfId="0" applyNumberFormat="1" applyFont="1" applyBorder="1" applyAlignment="1" applyProtection="1">
      <alignment horizontal="center" vertical="center"/>
    </xf>
    <xf numFmtId="0" fontId="5" fillId="0" borderId="4" xfId="0" applyFont="1" applyFill="1" applyBorder="1" applyAlignment="1" applyProtection="1">
      <alignment horizontal="center" vertical="center"/>
    </xf>
    <xf numFmtId="0" fontId="5" fillId="0" borderId="5" xfId="0" applyFont="1" applyFill="1" applyBorder="1" applyAlignment="1" applyProtection="1">
      <alignment horizontal="center" vertical="center"/>
    </xf>
    <xf numFmtId="0" fontId="7" fillId="0" borderId="2" xfId="0" applyFont="1" applyFill="1" applyBorder="1" applyAlignment="1" applyProtection="1">
      <alignment horizontal="center" vertical="center"/>
    </xf>
    <xf numFmtId="0" fontId="7" fillId="0" borderId="2" xfId="0" applyFont="1" applyFill="1" applyBorder="1" applyAlignment="1" applyProtection="1">
      <alignment horizontal="center" vertical="top"/>
    </xf>
    <xf numFmtId="0" fontId="8" fillId="0" borderId="2" xfId="0" applyFont="1" applyFill="1" applyBorder="1" applyAlignment="1" applyProtection="1">
      <alignment horizontal="center" vertical="center"/>
    </xf>
    <xf numFmtId="0" fontId="7" fillId="0" borderId="3" xfId="0" applyFont="1" applyFill="1" applyBorder="1" applyAlignment="1" applyProtection="1">
      <alignment horizontal="center" vertical="center"/>
    </xf>
    <xf numFmtId="0" fontId="5" fillId="0" borderId="1" xfId="0" applyFont="1" applyFill="1" applyBorder="1" applyAlignment="1" applyProtection="1">
      <alignment horizontal="center" vertical="center"/>
    </xf>
    <xf numFmtId="0" fontId="7" fillId="0" borderId="1" xfId="0" applyFont="1" applyFill="1" applyBorder="1" applyAlignment="1" applyProtection="1">
      <alignment horizontal="center" vertical="center"/>
    </xf>
    <xf numFmtId="0" fontId="2" fillId="0" borderId="0" xfId="0" applyFont="1" applyFill="1" applyAlignment="1">
      <alignment horizontal="center" vertical="center"/>
    </xf>
    <xf numFmtId="0" fontId="5" fillId="0" borderId="0" xfId="0" applyFont="1" applyFill="1" applyBorder="1" applyAlignment="1" applyProtection="1">
      <alignment horizontal="center" vertical="center"/>
    </xf>
    <xf numFmtId="176" fontId="0" fillId="0" borderId="6" xfId="0" applyNumberFormat="1" applyBorder="1" applyAlignment="1">
      <alignment horizontal="center" vertical="center"/>
    </xf>
    <xf numFmtId="176" fontId="0" fillId="0" borderId="1" xfId="0" applyNumberFormat="1" applyBorder="1" applyAlignment="1">
      <alignment horizontal="center" vertical="center"/>
    </xf>
    <xf numFmtId="176" fontId="6" fillId="0" borderId="1" xfId="0" applyNumberFormat="1" applyFont="1" applyBorder="1" applyAlignment="1" applyProtection="1">
      <alignment horizontal="center" vertical="center"/>
    </xf>
    <xf numFmtId="0" fontId="7" fillId="0" borderId="1" xfId="0" applyFont="1" applyFill="1" applyBorder="1" applyAlignment="1" applyProtection="1">
      <alignment horizontal="center" vertical="center" wrapText="1"/>
    </xf>
    <xf numFmtId="0" fontId="2" fillId="0" borderId="1" xfId="0" applyFont="1" applyFill="1" applyBorder="1" applyAlignment="1">
      <alignment horizontal="center" vertical="center"/>
    </xf>
    <xf numFmtId="176" fontId="0" fillId="0" borderId="0" xfId="0" applyNumberFormat="1">
      <alignment vertical="center"/>
    </xf>
    <xf numFmtId="0" fontId="4" fillId="2" borderId="1" xfId="0" applyFont="1" applyFill="1" applyBorder="1" applyAlignment="1">
      <alignment horizontal="center" vertical="center"/>
    </xf>
    <xf numFmtId="0" fontId="9" fillId="2" borderId="1" xfId="0" applyFont="1" applyFill="1" applyBorder="1" applyAlignment="1">
      <alignment horizontal="center" vertical="center"/>
    </xf>
    <xf numFmtId="0" fontId="4" fillId="2" borderId="7" xfId="0" applyFont="1" applyFill="1" applyBorder="1" applyAlignment="1">
      <alignment horizontal="center" vertical="center"/>
    </xf>
    <xf numFmtId="0" fontId="4" fillId="4" borderId="1" xfId="0" applyFont="1" applyFill="1" applyBorder="1" applyAlignment="1">
      <alignment horizontal="center" vertical="center"/>
    </xf>
    <xf numFmtId="0" fontId="9" fillId="4" borderId="1" xfId="0" applyFont="1" applyFill="1" applyBorder="1" applyAlignment="1">
      <alignment horizontal="center" vertical="center"/>
    </xf>
    <xf numFmtId="0" fontId="4" fillId="3" borderId="1" xfId="0" applyFont="1" applyFill="1" applyBorder="1" applyAlignment="1">
      <alignment horizontal="center" vertical="center"/>
    </xf>
    <xf numFmtId="0" fontId="9" fillId="3" borderId="1" xfId="0" applyFont="1" applyFill="1" applyBorder="1" applyAlignment="1">
      <alignment horizontal="center" vertical="center"/>
    </xf>
    <xf numFmtId="0" fontId="4" fillId="2" borderId="8" xfId="0" applyFont="1" applyFill="1" applyBorder="1" applyAlignment="1">
      <alignment horizontal="center" vertical="center"/>
    </xf>
    <xf numFmtId="0" fontId="10" fillId="0" borderId="1" xfId="0" applyFont="1" applyFill="1" applyBorder="1" applyAlignment="1">
      <alignment horizontal="center" vertical="center"/>
    </xf>
    <xf numFmtId="176" fontId="10" fillId="0" borderId="1" xfId="0" applyNumberFormat="1" applyFont="1" applyFill="1" applyBorder="1" applyAlignment="1">
      <alignment horizontal="center" vertical="center"/>
    </xf>
    <xf numFmtId="0" fontId="11" fillId="0" borderId="2" xfId="0" applyFont="1" applyFill="1" applyBorder="1" applyAlignment="1" applyProtection="1">
      <alignment horizontal="center" vertical="center"/>
    </xf>
    <xf numFmtId="0" fontId="12" fillId="0" borderId="2" xfId="0" applyFont="1" applyFill="1" applyBorder="1" applyAlignment="1" applyProtection="1">
      <alignment horizontal="center" vertical="center"/>
    </xf>
    <xf numFmtId="0" fontId="10" fillId="0" borderId="7" xfId="0" applyFont="1" applyFill="1" applyBorder="1" applyAlignment="1">
      <alignment horizontal="center" vertical="center"/>
    </xf>
    <xf numFmtId="0" fontId="11" fillId="0" borderId="3" xfId="0" applyFont="1" applyFill="1" applyBorder="1" applyAlignment="1" applyProtection="1">
      <alignment horizontal="center" vertical="center"/>
    </xf>
    <xf numFmtId="0" fontId="10" fillId="0" borderId="9" xfId="0" applyFont="1" applyFill="1" applyBorder="1" applyAlignment="1">
      <alignment horizontal="center" vertical="center"/>
    </xf>
    <xf numFmtId="0" fontId="11" fillId="0" borderId="4" xfId="0" applyFont="1" applyFill="1" applyBorder="1" applyAlignment="1" applyProtection="1">
      <alignment horizontal="center" vertical="center"/>
    </xf>
    <xf numFmtId="0" fontId="10" fillId="0" borderId="8" xfId="0" applyFont="1" applyFill="1" applyBorder="1" applyAlignment="1">
      <alignment horizontal="center" vertical="center"/>
    </xf>
    <xf numFmtId="0" fontId="11" fillId="0" borderId="5" xfId="0" applyFont="1" applyFill="1" applyBorder="1" applyAlignment="1" applyProtection="1">
      <alignment horizontal="center" vertical="center"/>
    </xf>
    <xf numFmtId="0" fontId="13" fillId="0" borderId="1" xfId="0" applyFont="1" applyFill="1" applyBorder="1" applyAlignment="1">
      <alignment horizontal="center" vertical="center"/>
    </xf>
    <xf numFmtId="0" fontId="14" fillId="0" borderId="2" xfId="0" applyFont="1" applyFill="1" applyBorder="1" applyAlignment="1" applyProtection="1">
      <alignment horizontal="center" vertical="center"/>
    </xf>
    <xf numFmtId="0" fontId="15" fillId="0" borderId="2" xfId="0" applyFont="1" applyFill="1" applyBorder="1" applyAlignment="1" applyProtection="1">
      <alignment horizontal="center" vertical="center"/>
    </xf>
    <xf numFmtId="0" fontId="15" fillId="0" borderId="2" xfId="0" applyFont="1" applyFill="1" applyBorder="1" applyAlignment="1" applyProtection="1">
      <alignment horizontal="center" vertical="top"/>
    </xf>
    <xf numFmtId="0" fontId="16" fillId="0" borderId="2" xfId="0" applyFont="1" applyFill="1" applyBorder="1" applyAlignment="1" applyProtection="1">
      <alignment horizontal="center" vertical="center"/>
    </xf>
    <xf numFmtId="0" fontId="12" fillId="0" borderId="2" xfId="0" applyFont="1" applyFill="1" applyBorder="1" applyAlignment="1" applyProtection="1">
      <alignment horizontal="center" vertical="top"/>
    </xf>
    <xf numFmtId="0" fontId="17" fillId="0" borderId="1" xfId="0" applyFont="1" applyFill="1" applyBorder="1" applyAlignment="1">
      <alignment horizontal="center" vertical="center"/>
    </xf>
    <xf numFmtId="0" fontId="12" fillId="0" borderId="3" xfId="0" applyFont="1" applyFill="1" applyBorder="1" applyAlignment="1" applyProtection="1">
      <alignment horizontal="center" vertical="center"/>
    </xf>
    <xf numFmtId="0" fontId="14" fillId="0" borderId="1" xfId="0" applyFont="1" applyFill="1" applyBorder="1" applyAlignment="1" applyProtection="1">
      <alignment horizontal="center" vertical="center"/>
    </xf>
    <xf numFmtId="0" fontId="6" fillId="0" borderId="0" xfId="0" applyFont="1">
      <alignment vertical="center"/>
    </xf>
    <xf numFmtId="0" fontId="6" fillId="0" borderId="0" xfId="0" applyFont="1" applyAlignment="1">
      <alignment horizontal="left" vertical="center"/>
    </xf>
    <xf numFmtId="0" fontId="6" fillId="0" borderId="0" xfId="0" applyFont="1" applyAlignment="1">
      <alignment horizontal="center" vertical="center"/>
    </xf>
    <xf numFmtId="0" fontId="18" fillId="0" borderId="0" xfId="0" applyFont="1" applyAlignment="1">
      <alignment horizontal="center" vertical="center"/>
    </xf>
    <xf numFmtId="0" fontId="10" fillId="0" borderId="5" xfId="0" applyFont="1" applyBorder="1" applyAlignment="1" applyProtection="1">
      <alignment horizontal="center" vertical="center" wrapText="1"/>
    </xf>
    <xf numFmtId="0" fontId="11" fillId="0" borderId="5" xfId="0" applyFont="1" applyBorder="1" applyAlignment="1" applyProtection="1">
      <alignment horizontal="justify" vertical="center" wrapText="1"/>
    </xf>
    <xf numFmtId="0" fontId="14" fillId="0" borderId="10" xfId="0" applyFont="1" applyBorder="1" applyAlignment="1" applyProtection="1">
      <alignment horizontal="center" vertical="center" wrapText="1"/>
    </xf>
    <xf numFmtId="0" fontId="10" fillId="0" borderId="2" xfId="0" applyFont="1" applyBorder="1" applyAlignment="1" applyProtection="1">
      <alignment horizontal="center" vertical="center" wrapText="1"/>
    </xf>
    <xf numFmtId="0" fontId="11" fillId="0" borderId="2" xfId="0" applyFont="1" applyBorder="1" applyAlignment="1" applyProtection="1">
      <alignment horizontal="justify" vertical="center" wrapText="1"/>
    </xf>
    <xf numFmtId="0" fontId="14" fillId="0" borderId="11" xfId="0" applyFont="1" applyBorder="1" applyAlignment="1" applyProtection="1">
      <alignment horizontal="center" vertical="center" wrapText="1"/>
    </xf>
    <xf numFmtId="0" fontId="10" fillId="0" borderId="3" xfId="0" applyFont="1" applyBorder="1" applyAlignment="1" applyProtection="1">
      <alignment horizontal="left" vertical="center" wrapText="1"/>
    </xf>
    <xf numFmtId="0" fontId="11" fillId="0" borderId="3" xfId="0" applyFont="1" applyBorder="1" applyAlignment="1" applyProtection="1">
      <alignment horizontal="justify" vertical="center" wrapText="1"/>
    </xf>
    <xf numFmtId="0" fontId="19" fillId="0" borderId="0" xfId="0" applyFont="1">
      <alignment vertical="center"/>
    </xf>
    <xf numFmtId="0" fontId="10" fillId="0" borderId="4" xfId="0" applyFont="1" applyBorder="1" applyAlignment="1" applyProtection="1">
      <alignment horizontal="left" vertical="center" wrapText="1"/>
    </xf>
    <xf numFmtId="0" fontId="11" fillId="0" borderId="4" xfId="0" applyFont="1" applyBorder="1" applyAlignment="1" applyProtection="1">
      <alignment horizontal="justify" vertical="center" wrapText="1"/>
    </xf>
    <xf numFmtId="0" fontId="10" fillId="0" borderId="5" xfId="0" applyFont="1" applyBorder="1" applyAlignment="1" applyProtection="1">
      <alignment horizontal="left" vertical="center" wrapText="1"/>
    </xf>
    <xf numFmtId="0" fontId="20" fillId="0" borderId="2" xfId="0" applyFont="1" applyBorder="1" applyAlignment="1" applyProtection="1">
      <alignment horizontal="center" vertical="center" wrapText="1"/>
    </xf>
    <xf numFmtId="0" fontId="14" fillId="0" borderId="2" xfId="0" applyFont="1" applyBorder="1" applyAlignment="1" applyProtection="1">
      <alignment horizontal="justify" vertical="center" wrapText="1"/>
    </xf>
    <xf numFmtId="0" fontId="11" fillId="0" borderId="2" xfId="0" applyFont="1" applyBorder="1" applyAlignment="1" applyProtection="1">
      <alignment horizontal="justify" vertical="center"/>
    </xf>
    <xf numFmtId="0" fontId="11" fillId="0" borderId="2" xfId="0" applyFont="1" applyBorder="1" applyAlignment="1" applyProtection="1">
      <alignment horizontal="left" vertical="center" wrapText="1"/>
    </xf>
    <xf numFmtId="0" fontId="11" fillId="0" borderId="2" xfId="0" applyFont="1" applyBorder="1" applyAlignment="1" applyProtection="1">
      <alignment horizontal="left" vertical="top" wrapText="1"/>
    </xf>
    <xf numFmtId="0" fontId="21" fillId="0" borderId="2" xfId="0" applyFont="1" applyBorder="1" applyAlignment="1" applyProtection="1">
      <alignment horizontal="justify" vertical="center" wrapText="1"/>
    </xf>
    <xf numFmtId="0" fontId="14" fillId="0" borderId="2" xfId="0" applyFont="1" applyBorder="1" applyAlignment="1" applyProtection="1">
      <alignment horizontal="left" vertical="center" wrapText="1"/>
    </xf>
    <xf numFmtId="0" fontId="14" fillId="0" borderId="2" xfId="0" applyFont="1" applyBorder="1" applyAlignment="1" applyProtection="1">
      <alignment horizontal="left" vertical="top" wrapText="1"/>
    </xf>
    <xf numFmtId="0" fontId="17" fillId="0" borderId="2" xfId="0" applyFont="1" applyBorder="1" applyAlignment="1" applyProtection="1">
      <alignment horizontal="center" vertical="center" wrapText="1"/>
    </xf>
    <xf numFmtId="0" fontId="14" fillId="0" borderId="3" xfId="0" applyFont="1" applyBorder="1" applyAlignment="1" applyProtection="1">
      <alignment horizontal="left" vertical="center" wrapText="1"/>
    </xf>
    <xf numFmtId="0" fontId="17" fillId="0" borderId="2" xfId="0" applyFont="1" applyBorder="1" applyAlignment="1" applyProtection="1">
      <alignment horizontal="left" vertical="center" wrapText="1"/>
    </xf>
    <xf numFmtId="0" fontId="6" fillId="0" borderId="11" xfId="0" applyFont="1" applyBorder="1" applyProtection="1">
      <alignment vertical="center"/>
    </xf>
    <xf numFmtId="0" fontId="6" fillId="0" borderId="2" xfId="0" applyFont="1" applyBorder="1" applyProtection="1">
      <alignment vertical="center"/>
    </xf>
    <xf numFmtId="0" fontId="6" fillId="0" borderId="2" xfId="0" applyFont="1" applyBorder="1" applyAlignment="1" applyProtection="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U30"/>
  <sheetViews>
    <sheetView tabSelected="1" workbookViewId="0">
      <pane ySplit="1" topLeftCell="A2" activePane="bottomLeft" state="frozen"/>
      <selection/>
      <selection pane="bottomLeft" activeCell="P29" sqref="P29"/>
    </sheetView>
  </sheetViews>
  <sheetFormatPr defaultColWidth="8.66666666666667" defaultRowHeight="33" customHeight="1"/>
  <cols>
    <col min="4" max="4" width="26.8333333333333" style="54" customWidth="1"/>
    <col min="6" max="6" width="52" style="55" hidden="1" customWidth="1"/>
    <col min="7" max="7" width="43.3333333333333" style="55" hidden="1" customWidth="1"/>
    <col min="8" max="8" width="25.5" style="54" customWidth="1"/>
    <col min="9" max="9" width="8.66666666666667" style="54" customWidth="1"/>
    <col min="10" max="10" width="12.8333333333333" style="56" customWidth="1"/>
    <col min="11" max="16" width="10" style="57" customWidth="1"/>
    <col min="17" max="20" width="10" style="57"/>
    <col min="21" max="21" width="13.7954545454545" customWidth="1"/>
  </cols>
  <sheetData>
    <row r="1" customHeight="1" spans="1:21">
      <c r="A1" s="5" t="s">
        <v>0</v>
      </c>
      <c r="B1" s="5"/>
      <c r="C1" s="5" t="s">
        <v>1</v>
      </c>
      <c r="D1" s="5" t="s">
        <v>2</v>
      </c>
      <c r="E1" s="5" t="s">
        <v>3</v>
      </c>
      <c r="F1" s="5" t="s">
        <v>4</v>
      </c>
      <c r="G1" s="5" t="s">
        <v>5</v>
      </c>
      <c r="H1" s="5" t="s">
        <v>6</v>
      </c>
      <c r="I1" s="5" t="s">
        <v>7</v>
      </c>
      <c r="J1" s="5" t="s">
        <v>8</v>
      </c>
      <c r="K1" s="5" t="s">
        <v>9</v>
      </c>
      <c r="L1" s="5" t="s">
        <v>10</v>
      </c>
      <c r="M1" s="5" t="s">
        <v>11</v>
      </c>
      <c r="N1" s="5" t="s">
        <v>12</v>
      </c>
      <c r="O1" s="5" t="s">
        <v>13</v>
      </c>
      <c r="P1" s="5" t="s">
        <v>14</v>
      </c>
      <c r="Q1" s="5" t="s">
        <v>15</v>
      </c>
      <c r="R1" s="5" t="s">
        <v>16</v>
      </c>
      <c r="S1" s="5" t="s">
        <v>17</v>
      </c>
      <c r="T1" s="5" t="s">
        <v>18</v>
      </c>
    </row>
    <row r="2" ht="30" customHeight="1" spans="1:21">
      <c r="A2" s="58" t="s">
        <v>19</v>
      </c>
      <c r="B2" s="58" t="s">
        <v>20</v>
      </c>
      <c r="C2" s="58">
        <v>14</v>
      </c>
      <c r="D2" s="58" t="s">
        <v>21</v>
      </c>
      <c r="E2" s="58">
        <v>10</v>
      </c>
      <c r="F2" s="59" t="s">
        <v>22</v>
      </c>
      <c r="G2" s="59" t="s">
        <v>23</v>
      </c>
      <c r="H2" s="60" t="s">
        <v>24</v>
      </c>
      <c r="I2" s="60" t="s">
        <v>25</v>
      </c>
      <c r="J2" s="9">
        <v>9.3</v>
      </c>
      <c r="K2" s="9">
        <v>9.1</v>
      </c>
      <c r="L2" s="9">
        <v>9.1</v>
      </c>
      <c r="M2" s="9">
        <v>9</v>
      </c>
      <c r="N2" s="9">
        <v>8.7</v>
      </c>
      <c r="O2" s="9">
        <v>9.3</v>
      </c>
      <c r="P2" s="9">
        <v>9.1</v>
      </c>
      <c r="Q2" s="9">
        <v>9.3</v>
      </c>
      <c r="R2" s="9">
        <v>9.3</v>
      </c>
      <c r="S2" s="9">
        <v>9.3</v>
      </c>
      <c r="T2" s="9">
        <v>9.3</v>
      </c>
    </row>
    <row r="3" ht="30" customHeight="1" spans="1:21">
      <c r="A3" s="61"/>
      <c r="B3" s="61"/>
      <c r="C3" s="61"/>
      <c r="D3" s="61" t="s">
        <v>26</v>
      </c>
      <c r="E3" s="61">
        <v>2</v>
      </c>
      <c r="F3" s="62" t="s">
        <v>27</v>
      </c>
      <c r="G3" s="62" t="s">
        <v>28</v>
      </c>
      <c r="H3" s="63" t="s">
        <v>24</v>
      </c>
      <c r="I3" s="63" t="s">
        <v>29</v>
      </c>
      <c r="J3" s="9">
        <v>2</v>
      </c>
      <c r="K3" s="9">
        <v>2</v>
      </c>
      <c r="L3" s="9">
        <v>2</v>
      </c>
      <c r="M3" s="9">
        <v>2</v>
      </c>
      <c r="N3" s="9">
        <v>2</v>
      </c>
      <c r="O3" s="9">
        <v>2</v>
      </c>
      <c r="P3" s="9">
        <v>2</v>
      </c>
      <c r="Q3" s="9">
        <v>2</v>
      </c>
      <c r="R3" s="9">
        <v>2</v>
      </c>
      <c r="S3" s="9">
        <v>2</v>
      </c>
      <c r="T3" s="9">
        <v>2</v>
      </c>
    </row>
    <row r="4" ht="30" customHeight="1" spans="1:21">
      <c r="A4" s="61"/>
      <c r="B4" s="61" t="s">
        <v>30</v>
      </c>
      <c r="C4" s="61">
        <v>14</v>
      </c>
      <c r="D4" s="61" t="s">
        <v>31</v>
      </c>
      <c r="E4" s="61">
        <v>5</v>
      </c>
      <c r="F4" s="64" t="s">
        <v>32</v>
      </c>
      <c r="G4" s="65" t="s">
        <v>33</v>
      </c>
      <c r="H4" s="63" t="s">
        <v>34</v>
      </c>
      <c r="I4" s="63" t="s">
        <v>35</v>
      </c>
      <c r="J4" s="9">
        <v>2.5</v>
      </c>
      <c r="K4" s="9">
        <v>2.5</v>
      </c>
      <c r="L4" s="9">
        <v>2.5</v>
      </c>
      <c r="M4" s="9">
        <v>2.5</v>
      </c>
      <c r="N4" s="9">
        <v>2.5</v>
      </c>
      <c r="O4" s="9">
        <v>2.5</v>
      </c>
      <c r="P4" s="9">
        <v>2.5</v>
      </c>
      <c r="Q4" s="9">
        <v>2.5</v>
      </c>
      <c r="R4" s="9">
        <v>2.5</v>
      </c>
      <c r="S4" s="9">
        <v>2.5</v>
      </c>
      <c r="T4" s="9">
        <v>2.5</v>
      </c>
      <c r="U4" s="66"/>
    </row>
    <row r="5" ht="30" customHeight="1" spans="1:21">
      <c r="A5" s="61"/>
      <c r="B5" s="61"/>
      <c r="C5" s="61"/>
      <c r="D5" s="61" t="s">
        <v>36</v>
      </c>
      <c r="E5" s="61">
        <v>5</v>
      </c>
      <c r="F5" s="67"/>
      <c r="G5" s="68"/>
      <c r="H5" s="63" t="s">
        <v>37</v>
      </c>
      <c r="I5" s="63" t="s">
        <v>38</v>
      </c>
      <c r="J5" s="9">
        <v>3.45</v>
      </c>
      <c r="K5" s="9">
        <v>3.9</v>
      </c>
      <c r="L5" s="9">
        <v>2.725</v>
      </c>
      <c r="M5" s="9">
        <v>1.75</v>
      </c>
      <c r="N5" s="9">
        <v>5</v>
      </c>
      <c r="O5" s="9">
        <v>3.57</v>
      </c>
      <c r="P5" s="9">
        <v>2.725</v>
      </c>
      <c r="Q5" s="9">
        <v>3.9</v>
      </c>
      <c r="R5" s="9">
        <v>3.9</v>
      </c>
      <c r="S5" s="9">
        <v>1.75</v>
      </c>
      <c r="T5" s="9">
        <v>3.9</v>
      </c>
    </row>
    <row r="6" ht="30" customHeight="1" spans="1:21">
      <c r="A6" s="61"/>
      <c r="B6" s="61"/>
      <c r="C6" s="61"/>
      <c r="D6" s="61" t="s">
        <v>39</v>
      </c>
      <c r="E6" s="61">
        <v>4</v>
      </c>
      <c r="F6" s="69"/>
      <c r="G6" s="59"/>
      <c r="H6" s="63" t="s">
        <v>37</v>
      </c>
      <c r="I6" s="63" t="s">
        <v>38</v>
      </c>
      <c r="J6" s="9">
        <v>2.39272727272727</v>
      </c>
      <c r="K6" s="9">
        <v>3.12</v>
      </c>
      <c r="L6" s="9">
        <v>1.4</v>
      </c>
      <c r="M6" s="9">
        <v>1.4</v>
      </c>
      <c r="N6" s="9">
        <v>4</v>
      </c>
      <c r="O6" s="9">
        <v>3.12</v>
      </c>
      <c r="P6" s="9">
        <v>1.4</v>
      </c>
      <c r="Q6" s="9">
        <v>3.12</v>
      </c>
      <c r="R6" s="9">
        <v>4</v>
      </c>
      <c r="S6" s="9">
        <v>4</v>
      </c>
      <c r="T6" s="9">
        <v>3.12</v>
      </c>
    </row>
    <row r="7" ht="30" customHeight="1" spans="1:21">
      <c r="A7" s="61"/>
      <c r="B7" s="61" t="s">
        <v>40</v>
      </c>
      <c r="C7" s="61">
        <v>17</v>
      </c>
      <c r="D7" s="61" t="s">
        <v>41</v>
      </c>
      <c r="E7" s="61">
        <v>9</v>
      </c>
      <c r="F7" s="62" t="s">
        <v>42</v>
      </c>
      <c r="G7" s="62" t="s">
        <v>43</v>
      </c>
      <c r="H7" s="63" t="s">
        <v>24</v>
      </c>
      <c r="I7" s="63" t="s">
        <v>44</v>
      </c>
      <c r="J7" s="9">
        <v>9</v>
      </c>
      <c r="K7" s="9">
        <v>9</v>
      </c>
      <c r="L7" s="9">
        <v>9</v>
      </c>
      <c r="M7" s="9">
        <v>9</v>
      </c>
      <c r="N7" s="9">
        <v>9</v>
      </c>
      <c r="O7" s="9">
        <v>9</v>
      </c>
      <c r="P7" s="9">
        <v>9</v>
      </c>
      <c r="Q7" s="9">
        <v>9</v>
      </c>
      <c r="R7" s="9">
        <v>9</v>
      </c>
      <c r="S7" s="9">
        <v>9</v>
      </c>
      <c r="T7" s="9">
        <v>9</v>
      </c>
    </row>
    <row r="8" ht="30" customHeight="1" spans="1:21">
      <c r="A8" s="61"/>
      <c r="B8" s="61"/>
      <c r="C8" s="61"/>
      <c r="D8" s="70" t="s">
        <v>45</v>
      </c>
      <c r="E8" s="61">
        <v>3</v>
      </c>
      <c r="F8" s="62" t="s">
        <v>46</v>
      </c>
      <c r="G8" s="62" t="s">
        <v>47</v>
      </c>
      <c r="H8" s="63" t="s">
        <v>34</v>
      </c>
      <c r="I8" s="63" t="s">
        <v>48</v>
      </c>
      <c r="J8" s="9">
        <v>3</v>
      </c>
      <c r="K8" s="9">
        <v>3</v>
      </c>
      <c r="L8" s="9">
        <v>3</v>
      </c>
      <c r="M8" s="9">
        <v>3</v>
      </c>
      <c r="N8" s="9">
        <v>3</v>
      </c>
      <c r="O8" s="9">
        <v>3</v>
      </c>
      <c r="P8" s="9">
        <v>3</v>
      </c>
      <c r="Q8" s="9">
        <v>3</v>
      </c>
      <c r="R8" s="9">
        <v>3</v>
      </c>
      <c r="S8" s="9">
        <v>3</v>
      </c>
      <c r="T8" s="9">
        <v>3</v>
      </c>
    </row>
    <row r="9" ht="30" customHeight="1" spans="1:21">
      <c r="A9" s="61"/>
      <c r="B9" s="61"/>
      <c r="C9" s="61"/>
      <c r="D9" s="61" t="s">
        <v>49</v>
      </c>
      <c r="E9" s="61">
        <v>5</v>
      </c>
      <c r="F9" s="62" t="s">
        <v>50</v>
      </c>
      <c r="G9" s="62" t="s">
        <v>51</v>
      </c>
      <c r="H9" s="63" t="s">
        <v>34</v>
      </c>
      <c r="I9" s="63" t="s">
        <v>44</v>
      </c>
      <c r="J9" s="9">
        <v>5</v>
      </c>
      <c r="K9" s="9">
        <v>5</v>
      </c>
      <c r="L9" s="9">
        <v>5</v>
      </c>
      <c r="M9" s="9">
        <v>5</v>
      </c>
      <c r="N9" s="9">
        <v>5</v>
      </c>
      <c r="O9" s="9">
        <v>5</v>
      </c>
      <c r="P9" s="9">
        <v>5</v>
      </c>
      <c r="Q9" s="9">
        <v>5</v>
      </c>
      <c r="R9" s="9">
        <v>5</v>
      </c>
      <c r="S9" s="9">
        <v>5</v>
      </c>
      <c r="T9" s="9">
        <v>5</v>
      </c>
    </row>
    <row r="10" ht="30" customHeight="1" spans="1:21">
      <c r="A10" s="61" t="s">
        <v>52</v>
      </c>
      <c r="B10" s="61" t="s">
        <v>53</v>
      </c>
      <c r="C10" s="61">
        <v>10</v>
      </c>
      <c r="D10" s="61" t="s">
        <v>54</v>
      </c>
      <c r="E10" s="61">
        <v>10</v>
      </c>
      <c r="F10" s="62" t="s">
        <v>55</v>
      </c>
      <c r="G10" s="62" t="s">
        <v>56</v>
      </c>
      <c r="H10" s="63" t="s">
        <v>24</v>
      </c>
      <c r="I10" s="63" t="s">
        <v>57</v>
      </c>
      <c r="J10" s="9">
        <v>10</v>
      </c>
      <c r="K10" s="9">
        <v>10</v>
      </c>
      <c r="L10" s="9">
        <v>10</v>
      </c>
      <c r="M10" s="9">
        <v>10</v>
      </c>
      <c r="N10" s="9">
        <v>10</v>
      </c>
      <c r="O10" s="9">
        <v>10</v>
      </c>
      <c r="P10" s="9">
        <v>10</v>
      </c>
      <c r="Q10" s="9">
        <v>10</v>
      </c>
      <c r="R10" s="9">
        <v>10</v>
      </c>
      <c r="S10" s="9">
        <v>10</v>
      </c>
      <c r="T10" s="9">
        <v>10</v>
      </c>
    </row>
    <row r="11" ht="30" customHeight="1" spans="1:21">
      <c r="A11" s="61"/>
      <c r="B11" s="61" t="s">
        <v>58</v>
      </c>
      <c r="C11" s="61">
        <v>10</v>
      </c>
      <c r="D11" s="61" t="s">
        <v>59</v>
      </c>
      <c r="E11" s="61">
        <v>10</v>
      </c>
      <c r="F11" s="62" t="s">
        <v>60</v>
      </c>
      <c r="G11" s="62" t="s">
        <v>61</v>
      </c>
      <c r="H11" s="63" t="s">
        <v>24</v>
      </c>
      <c r="I11" s="63" t="s">
        <v>62</v>
      </c>
      <c r="J11" s="9">
        <v>10</v>
      </c>
      <c r="K11" s="9">
        <v>10</v>
      </c>
      <c r="L11" s="9">
        <v>10</v>
      </c>
      <c r="M11" s="9">
        <v>10</v>
      </c>
      <c r="N11" s="9">
        <v>10</v>
      </c>
      <c r="O11" s="9">
        <v>10</v>
      </c>
      <c r="P11" s="9">
        <v>10</v>
      </c>
      <c r="Q11" s="9">
        <v>10</v>
      </c>
      <c r="R11" s="9">
        <v>10</v>
      </c>
      <c r="S11" s="9">
        <v>10</v>
      </c>
      <c r="T11" s="9">
        <v>10</v>
      </c>
    </row>
    <row r="12" ht="30" customHeight="1" spans="1:21">
      <c r="A12" s="61"/>
      <c r="B12" s="61" t="s">
        <v>63</v>
      </c>
      <c r="C12" s="61">
        <v>6</v>
      </c>
      <c r="D12" s="61" t="s">
        <v>64</v>
      </c>
      <c r="E12" s="61">
        <v>2</v>
      </c>
      <c r="F12" s="71" t="s">
        <v>65</v>
      </c>
      <c r="G12" s="71" t="s">
        <v>66</v>
      </c>
      <c r="H12" s="63" t="s">
        <v>24</v>
      </c>
      <c r="I12" s="63" t="s">
        <v>67</v>
      </c>
      <c r="J12" s="9">
        <v>2</v>
      </c>
      <c r="K12" s="9">
        <v>2</v>
      </c>
      <c r="L12" s="9">
        <v>2</v>
      </c>
      <c r="M12" s="9">
        <v>2</v>
      </c>
      <c r="N12" s="9">
        <v>2</v>
      </c>
      <c r="O12" s="9">
        <v>2</v>
      </c>
      <c r="P12" s="9">
        <v>2</v>
      </c>
      <c r="Q12" s="9">
        <v>2</v>
      </c>
      <c r="R12" s="9">
        <v>2</v>
      </c>
      <c r="S12" s="9">
        <v>2</v>
      </c>
      <c r="T12" s="9">
        <v>2</v>
      </c>
    </row>
    <row r="13" ht="30" customHeight="1" spans="1:21">
      <c r="A13" s="61"/>
      <c r="B13" s="61"/>
      <c r="C13" s="61"/>
      <c r="D13" s="61" t="s">
        <v>68</v>
      </c>
      <c r="E13" s="61">
        <v>4</v>
      </c>
      <c r="F13" s="71" t="s">
        <v>69</v>
      </c>
      <c r="G13" s="71" t="s">
        <v>70</v>
      </c>
      <c r="H13" s="63" t="s">
        <v>24</v>
      </c>
      <c r="I13" s="63" t="s">
        <v>25</v>
      </c>
      <c r="J13" s="9">
        <v>4</v>
      </c>
      <c r="K13" s="9">
        <v>4</v>
      </c>
      <c r="L13" s="9">
        <v>4</v>
      </c>
      <c r="M13" s="9">
        <v>4</v>
      </c>
      <c r="N13" s="9">
        <v>4</v>
      </c>
      <c r="O13" s="9">
        <v>4</v>
      </c>
      <c r="P13" s="9">
        <v>4</v>
      </c>
      <c r="Q13" s="9">
        <v>4</v>
      </c>
      <c r="R13" s="9">
        <v>4</v>
      </c>
      <c r="S13" s="9">
        <v>4</v>
      </c>
      <c r="T13" s="9">
        <v>4</v>
      </c>
    </row>
    <row r="14" ht="30" customHeight="1" spans="1:21">
      <c r="A14" s="61"/>
      <c r="B14" s="61" t="s">
        <v>71</v>
      </c>
      <c r="C14" s="61">
        <v>11</v>
      </c>
      <c r="D14" s="61" t="s">
        <v>72</v>
      </c>
      <c r="E14" s="61">
        <v>3</v>
      </c>
      <c r="F14" s="62" t="s">
        <v>73</v>
      </c>
      <c r="G14" s="62" t="s">
        <v>74</v>
      </c>
      <c r="H14" s="63" t="s">
        <v>34</v>
      </c>
      <c r="I14" s="63" t="s">
        <v>75</v>
      </c>
      <c r="J14" s="9">
        <v>2.57</v>
      </c>
      <c r="K14" s="9">
        <v>1.88</v>
      </c>
      <c r="L14" s="9">
        <v>2.86</v>
      </c>
      <c r="M14" s="9">
        <v>2.8</v>
      </c>
      <c r="N14" s="9">
        <v>2.91</v>
      </c>
      <c r="O14" s="9">
        <v>2.16</v>
      </c>
      <c r="P14" s="9">
        <v>3</v>
      </c>
      <c r="Q14" s="9">
        <v>2.44</v>
      </c>
      <c r="R14" s="9">
        <v>2.68</v>
      </c>
      <c r="S14" s="9">
        <v>2.44</v>
      </c>
      <c r="T14" s="9">
        <v>2.68</v>
      </c>
    </row>
    <row r="15" ht="30" customHeight="1" spans="1:21">
      <c r="A15" s="61"/>
      <c r="B15" s="61"/>
      <c r="C15" s="61"/>
      <c r="D15" s="61" t="s">
        <v>76</v>
      </c>
      <c r="E15" s="61">
        <v>3</v>
      </c>
      <c r="F15" s="62" t="s">
        <v>77</v>
      </c>
      <c r="G15" s="62" t="s">
        <v>78</v>
      </c>
      <c r="H15" s="63" t="s">
        <v>34</v>
      </c>
      <c r="I15" s="63" t="s">
        <v>75</v>
      </c>
      <c r="J15" s="9">
        <v>3</v>
      </c>
      <c r="K15" s="9">
        <v>3</v>
      </c>
      <c r="L15" s="9">
        <v>3</v>
      </c>
      <c r="M15" s="9">
        <v>3</v>
      </c>
      <c r="N15" s="9">
        <v>3</v>
      </c>
      <c r="O15" s="9">
        <v>0</v>
      </c>
      <c r="P15" s="9">
        <v>3</v>
      </c>
      <c r="Q15" s="9">
        <v>3</v>
      </c>
      <c r="R15" s="9">
        <v>0</v>
      </c>
      <c r="S15" s="9">
        <v>3</v>
      </c>
      <c r="T15" s="9">
        <v>0</v>
      </c>
    </row>
    <row r="16" ht="30" customHeight="1" spans="1:21">
      <c r="A16" s="61"/>
      <c r="B16" s="61"/>
      <c r="C16" s="61"/>
      <c r="D16" s="61" t="s">
        <v>79</v>
      </c>
      <c r="E16" s="61">
        <v>4</v>
      </c>
      <c r="F16" s="72" t="s">
        <v>80</v>
      </c>
      <c r="G16" s="62" t="s">
        <v>81</v>
      </c>
      <c r="H16" s="63" t="s">
        <v>34</v>
      </c>
      <c r="I16" s="63" t="s">
        <v>48</v>
      </c>
      <c r="J16" s="9">
        <v>2.54</v>
      </c>
      <c r="K16" s="9">
        <v>0.92</v>
      </c>
      <c r="L16" s="9">
        <v>2.69</v>
      </c>
      <c r="M16" s="9">
        <v>0.96</v>
      </c>
      <c r="N16" s="9">
        <v>2.66</v>
      </c>
      <c r="O16" s="9">
        <v>2.16</v>
      </c>
      <c r="P16" s="9">
        <v>2.5</v>
      </c>
      <c r="Q16" s="9">
        <v>3.42</v>
      </c>
      <c r="R16" s="9">
        <v>3.3</v>
      </c>
      <c r="S16" s="9">
        <v>2.48</v>
      </c>
      <c r="T16" s="9">
        <v>2.22</v>
      </c>
    </row>
    <row r="17" ht="30" customHeight="1" spans="1:20">
      <c r="A17" s="61"/>
      <c r="B17" s="61"/>
      <c r="C17" s="61"/>
      <c r="D17" s="61" t="s">
        <v>82</v>
      </c>
      <c r="E17" s="61">
        <v>1</v>
      </c>
      <c r="F17" s="62" t="s">
        <v>83</v>
      </c>
      <c r="G17" s="62" t="s">
        <v>84</v>
      </c>
      <c r="H17" s="63" t="s">
        <v>34</v>
      </c>
      <c r="I17" s="63" t="s">
        <v>48</v>
      </c>
      <c r="J17" s="9">
        <v>1</v>
      </c>
      <c r="K17" s="9">
        <v>0.8</v>
      </c>
      <c r="L17" s="9">
        <v>1</v>
      </c>
      <c r="M17" s="9">
        <v>1</v>
      </c>
      <c r="N17" s="9">
        <v>1</v>
      </c>
      <c r="O17" s="9">
        <v>1</v>
      </c>
      <c r="P17" s="9">
        <v>1</v>
      </c>
      <c r="Q17" s="9">
        <v>1</v>
      </c>
      <c r="R17" s="9">
        <v>1</v>
      </c>
      <c r="S17" s="9">
        <v>0.8</v>
      </c>
      <c r="T17" s="9">
        <v>1</v>
      </c>
    </row>
    <row r="18" ht="30" customHeight="1" spans="1:20">
      <c r="A18" s="61"/>
      <c r="B18" s="61" t="s">
        <v>85</v>
      </c>
      <c r="C18" s="61">
        <v>13</v>
      </c>
      <c r="D18" s="61" t="s">
        <v>86</v>
      </c>
      <c r="E18" s="61">
        <v>4</v>
      </c>
      <c r="F18" s="62" t="s">
        <v>87</v>
      </c>
      <c r="G18" s="62" t="s">
        <v>88</v>
      </c>
      <c r="H18" s="63" t="s">
        <v>37</v>
      </c>
      <c r="I18" s="63" t="s">
        <v>38</v>
      </c>
      <c r="J18" s="9">
        <v>3.13714285714286</v>
      </c>
      <c r="K18" s="9">
        <v>3.19480519480521</v>
      </c>
      <c r="L18" s="9">
        <v>3.3216342199068</v>
      </c>
      <c r="M18" s="9">
        <v>2</v>
      </c>
      <c r="N18" s="9">
        <v>4</v>
      </c>
      <c r="O18" s="9">
        <v>2.96185737976783</v>
      </c>
      <c r="P18" s="9">
        <v>4</v>
      </c>
      <c r="Q18" s="9">
        <v>2.55071781595669</v>
      </c>
      <c r="R18" s="9">
        <v>3.62574213882577</v>
      </c>
      <c r="S18" s="9">
        <v>2.41065967671475</v>
      </c>
      <c r="T18" s="9">
        <v>2</v>
      </c>
    </row>
    <row r="19" ht="30" customHeight="1" spans="1:20">
      <c r="A19" s="61"/>
      <c r="B19" s="61"/>
      <c r="C19" s="61"/>
      <c r="D19" s="61" t="s">
        <v>89</v>
      </c>
      <c r="E19" s="61">
        <v>3</v>
      </c>
      <c r="F19" s="73" t="s">
        <v>90</v>
      </c>
      <c r="G19" s="74" t="s">
        <v>91</v>
      </c>
      <c r="H19" s="63" t="s">
        <v>24</v>
      </c>
      <c r="I19" s="63" t="s">
        <v>38</v>
      </c>
      <c r="J19" s="9">
        <v>3</v>
      </c>
      <c r="K19" s="9">
        <v>3</v>
      </c>
      <c r="L19" s="9">
        <v>3</v>
      </c>
      <c r="M19" s="9">
        <v>3</v>
      </c>
      <c r="N19" s="9">
        <v>3</v>
      </c>
      <c r="O19" s="9">
        <v>3</v>
      </c>
      <c r="P19" s="9">
        <v>3</v>
      </c>
      <c r="Q19" s="9">
        <v>3</v>
      </c>
      <c r="R19" s="9">
        <v>3</v>
      </c>
      <c r="S19" s="9">
        <v>3</v>
      </c>
      <c r="T19" s="9">
        <v>3</v>
      </c>
    </row>
    <row r="20" ht="30" customHeight="1" spans="1:20">
      <c r="A20" s="61"/>
      <c r="B20" s="61"/>
      <c r="C20" s="61"/>
      <c r="D20" s="61" t="s">
        <v>92</v>
      </c>
      <c r="E20" s="61">
        <v>3</v>
      </c>
      <c r="F20" s="62" t="s">
        <v>93</v>
      </c>
      <c r="G20" s="75" t="s">
        <v>94</v>
      </c>
      <c r="H20" s="63" t="s">
        <v>34</v>
      </c>
      <c r="I20" s="63" t="s">
        <v>25</v>
      </c>
      <c r="J20" s="9">
        <v>3</v>
      </c>
      <c r="K20" s="9">
        <v>3</v>
      </c>
      <c r="L20" s="9">
        <v>3</v>
      </c>
      <c r="M20" s="9">
        <v>3</v>
      </c>
      <c r="N20" s="9">
        <v>3</v>
      </c>
      <c r="O20" s="9">
        <v>3</v>
      </c>
      <c r="P20" s="9">
        <v>3</v>
      </c>
      <c r="Q20" s="9">
        <v>3</v>
      </c>
      <c r="R20" s="9">
        <v>3</v>
      </c>
      <c r="S20" s="9">
        <v>3</v>
      </c>
      <c r="T20" s="9">
        <v>3</v>
      </c>
    </row>
    <row r="21" ht="30" customHeight="1" spans="1:20">
      <c r="A21" s="61"/>
      <c r="B21" s="61"/>
      <c r="C21" s="61"/>
      <c r="D21" s="61"/>
      <c r="E21" s="61">
        <v>3</v>
      </c>
      <c r="F21" s="72"/>
      <c r="G21" s="62" t="s">
        <v>95</v>
      </c>
      <c r="H21" s="63" t="s">
        <v>37</v>
      </c>
      <c r="I21" s="63" t="s">
        <v>38</v>
      </c>
      <c r="J21" s="9">
        <v>3</v>
      </c>
      <c r="K21" s="9">
        <v>2.791236030199</v>
      </c>
      <c r="L21" s="9">
        <v>3</v>
      </c>
      <c r="M21" s="9">
        <v>2.91676337464246</v>
      </c>
      <c r="N21" s="9">
        <v>3</v>
      </c>
      <c r="O21" s="9">
        <v>2.65681507490191</v>
      </c>
      <c r="P21" s="9">
        <v>3</v>
      </c>
      <c r="Q21" s="9">
        <v>3</v>
      </c>
      <c r="R21" s="9">
        <v>2.59234076153711</v>
      </c>
      <c r="S21" s="9">
        <v>2.84691954293792</v>
      </c>
      <c r="T21" s="9">
        <v>2.54221095230777</v>
      </c>
    </row>
    <row r="22" ht="30" customHeight="1" spans="1:20">
      <c r="A22" s="61"/>
      <c r="B22" s="61" t="s">
        <v>96</v>
      </c>
      <c r="C22" s="61">
        <v>5</v>
      </c>
      <c r="D22" s="61" t="s">
        <v>97</v>
      </c>
      <c r="E22" s="61">
        <v>1</v>
      </c>
      <c r="F22" s="76" t="s">
        <v>98</v>
      </c>
      <c r="G22" s="77" t="s">
        <v>99</v>
      </c>
      <c r="H22" s="63" t="s">
        <v>37</v>
      </c>
      <c r="I22" s="63" t="s">
        <v>100</v>
      </c>
      <c r="J22" s="9">
        <v>1</v>
      </c>
      <c r="K22" s="9">
        <v>1</v>
      </c>
      <c r="L22" s="9">
        <v>1</v>
      </c>
      <c r="M22" s="9">
        <v>1</v>
      </c>
      <c r="N22" s="9">
        <v>1</v>
      </c>
      <c r="O22" s="9">
        <v>1</v>
      </c>
      <c r="P22" s="9">
        <v>1</v>
      </c>
      <c r="Q22" s="9">
        <v>1</v>
      </c>
      <c r="R22" s="9">
        <v>1</v>
      </c>
      <c r="S22" s="9">
        <v>1</v>
      </c>
      <c r="T22" s="9">
        <v>1</v>
      </c>
    </row>
    <row r="23" ht="30" customHeight="1" spans="1:20">
      <c r="A23" s="61"/>
      <c r="B23" s="61"/>
      <c r="C23" s="61"/>
      <c r="D23" s="61" t="s">
        <v>101</v>
      </c>
      <c r="E23" s="61">
        <v>2</v>
      </c>
      <c r="F23" s="71" t="s">
        <v>102</v>
      </c>
      <c r="G23" s="76" t="s">
        <v>103</v>
      </c>
      <c r="H23" s="63" t="s">
        <v>37</v>
      </c>
      <c r="I23" s="63" t="s">
        <v>100</v>
      </c>
      <c r="J23" s="9">
        <v>2</v>
      </c>
      <c r="K23" s="9">
        <v>2</v>
      </c>
      <c r="L23" s="9">
        <v>2</v>
      </c>
      <c r="M23" s="9">
        <v>2</v>
      </c>
      <c r="N23" s="9">
        <v>2</v>
      </c>
      <c r="O23" s="9">
        <v>2</v>
      </c>
      <c r="P23" s="9">
        <v>2</v>
      </c>
      <c r="Q23" s="9">
        <v>2</v>
      </c>
      <c r="R23" s="9">
        <v>2</v>
      </c>
      <c r="S23" s="9">
        <v>2</v>
      </c>
      <c r="T23" s="9">
        <v>2</v>
      </c>
    </row>
    <row r="24" ht="30" customHeight="1" spans="1:20">
      <c r="A24" s="61"/>
      <c r="B24" s="61"/>
      <c r="C24" s="61"/>
      <c r="D24" s="61" t="s">
        <v>104</v>
      </c>
      <c r="E24" s="61">
        <v>2</v>
      </c>
      <c r="F24" s="76" t="s">
        <v>105</v>
      </c>
      <c r="G24" s="76" t="s">
        <v>106</v>
      </c>
      <c r="H24" s="63" t="s">
        <v>37</v>
      </c>
      <c r="I24" s="63" t="s">
        <v>100</v>
      </c>
      <c r="J24" s="9">
        <v>2</v>
      </c>
      <c r="K24" s="9">
        <v>2</v>
      </c>
      <c r="L24" s="9">
        <v>2</v>
      </c>
      <c r="M24" s="9">
        <v>2</v>
      </c>
      <c r="N24" s="9">
        <v>2</v>
      </c>
      <c r="O24" s="9">
        <v>2</v>
      </c>
      <c r="P24" s="9">
        <v>2</v>
      </c>
      <c r="Q24" s="9">
        <v>2</v>
      </c>
      <c r="R24" s="9">
        <v>2</v>
      </c>
      <c r="S24" s="9">
        <v>2</v>
      </c>
      <c r="T24" s="9">
        <v>2</v>
      </c>
    </row>
    <row r="25" ht="30" customHeight="1" spans="1:20">
      <c r="A25" s="78" t="s">
        <v>107</v>
      </c>
      <c r="B25" s="78" t="s">
        <v>107</v>
      </c>
      <c r="C25" s="78">
        <v>10</v>
      </c>
      <c r="D25" s="78" t="s">
        <v>108</v>
      </c>
      <c r="E25" s="78">
        <v>3</v>
      </c>
      <c r="F25" s="76" t="s">
        <v>109</v>
      </c>
      <c r="G25" s="76" t="s">
        <v>110</v>
      </c>
      <c r="H25" s="63" t="s">
        <v>34</v>
      </c>
      <c r="I25" s="63" t="s">
        <v>35</v>
      </c>
      <c r="J25" s="9" t="s">
        <v>111</v>
      </c>
      <c r="K25" s="9" t="s">
        <v>111</v>
      </c>
      <c r="L25" s="9" t="s">
        <v>111</v>
      </c>
      <c r="M25" s="9" t="s">
        <v>111</v>
      </c>
      <c r="N25" s="9" t="s">
        <v>111</v>
      </c>
      <c r="O25" s="9" t="s">
        <v>111</v>
      </c>
      <c r="P25" s="9" t="s">
        <v>111</v>
      </c>
      <c r="Q25" s="9" t="s">
        <v>111</v>
      </c>
      <c r="R25" s="9" t="s">
        <v>111</v>
      </c>
      <c r="S25" s="9" t="s">
        <v>111</v>
      </c>
      <c r="T25" s="9" t="s">
        <v>111</v>
      </c>
    </row>
    <row r="26" s="54" customFormat="1" ht="30" customHeight="1" spans="1:20">
      <c r="A26" s="78"/>
      <c r="B26" s="78"/>
      <c r="C26" s="78"/>
      <c r="D26" s="78" t="s">
        <v>112</v>
      </c>
      <c r="E26" s="78">
        <v>7</v>
      </c>
      <c r="F26" s="79" t="s">
        <v>113</v>
      </c>
      <c r="G26" s="76" t="s">
        <v>114</v>
      </c>
      <c r="H26" s="63" t="s">
        <v>37</v>
      </c>
      <c r="I26" s="63" t="s">
        <v>38</v>
      </c>
      <c r="J26" s="9">
        <v>7</v>
      </c>
      <c r="K26" s="9">
        <f>(80.81-80)/20*7</f>
        <v>0.283500000000001</v>
      </c>
      <c r="L26" s="9">
        <v>7</v>
      </c>
      <c r="M26" s="9">
        <f>(86.92-80)/20*7</f>
        <v>2.422</v>
      </c>
      <c r="N26" s="9">
        <v>7</v>
      </c>
      <c r="O26" s="9">
        <f>(95.87-80)/20*7</f>
        <v>5.5545</v>
      </c>
      <c r="P26" s="9">
        <v>7</v>
      </c>
      <c r="Q26" s="9">
        <v>7</v>
      </c>
      <c r="R26" s="9">
        <v>7</v>
      </c>
      <c r="S26" s="9">
        <v>7</v>
      </c>
      <c r="T26" s="9">
        <v>7</v>
      </c>
    </row>
    <row r="27" ht="30" customHeight="1" spans="1:20">
      <c r="A27" s="78" t="s">
        <v>115</v>
      </c>
      <c r="B27" s="78" t="s">
        <v>115</v>
      </c>
      <c r="C27" s="78">
        <v>-3</v>
      </c>
      <c r="D27" s="78" t="s">
        <v>116</v>
      </c>
      <c r="E27" s="78">
        <v>2</v>
      </c>
      <c r="F27" s="79" t="s">
        <v>117</v>
      </c>
      <c r="G27" s="76" t="s">
        <v>118</v>
      </c>
      <c r="H27" s="63" t="s">
        <v>24</v>
      </c>
      <c r="I27" s="63" t="s">
        <v>75</v>
      </c>
      <c r="J27" s="9">
        <v>2</v>
      </c>
      <c r="K27" s="9">
        <v>0</v>
      </c>
      <c r="L27" s="9">
        <v>0</v>
      </c>
      <c r="M27" s="9">
        <v>0</v>
      </c>
      <c r="N27" s="9">
        <v>0</v>
      </c>
      <c r="O27" s="9">
        <v>0</v>
      </c>
      <c r="P27" s="9">
        <v>0</v>
      </c>
      <c r="Q27" s="9">
        <v>0</v>
      </c>
      <c r="R27" s="9">
        <v>0</v>
      </c>
      <c r="S27" s="9">
        <v>0</v>
      </c>
      <c r="T27" s="9">
        <v>0</v>
      </c>
    </row>
    <row r="28" ht="30" customHeight="1" spans="1:20">
      <c r="A28" s="78"/>
      <c r="B28" s="78"/>
      <c r="C28" s="78"/>
      <c r="D28" s="78" t="s">
        <v>119</v>
      </c>
      <c r="E28" s="78">
        <v>-5</v>
      </c>
      <c r="F28" s="71" t="s">
        <v>120</v>
      </c>
      <c r="G28" s="76" t="s">
        <v>121</v>
      </c>
      <c r="H28" s="63" t="s">
        <v>24</v>
      </c>
      <c r="I28" s="63" t="s">
        <v>57</v>
      </c>
      <c r="J28" s="9">
        <v>-1.2</v>
      </c>
      <c r="K28" s="9">
        <v>0</v>
      </c>
      <c r="L28" s="9">
        <v>0</v>
      </c>
      <c r="M28" s="9">
        <v>-0.8</v>
      </c>
      <c r="N28" s="9">
        <v>0</v>
      </c>
      <c r="O28" s="9">
        <v>-1.3</v>
      </c>
      <c r="P28" s="9">
        <v>-0.8</v>
      </c>
      <c r="Q28" s="9">
        <v>0</v>
      </c>
      <c r="R28" s="9">
        <v>-0.8</v>
      </c>
      <c r="S28" s="9">
        <v>0</v>
      </c>
      <c r="T28" s="9">
        <v>0</v>
      </c>
    </row>
    <row r="29" ht="30" customHeight="1" spans="1:20">
      <c r="A29" s="78" t="s">
        <v>122</v>
      </c>
      <c r="B29" s="78" t="s">
        <v>122</v>
      </c>
      <c r="C29" s="78" t="s">
        <v>123</v>
      </c>
      <c r="D29" s="78" t="s">
        <v>124</v>
      </c>
      <c r="E29" s="78" t="s">
        <v>123</v>
      </c>
      <c r="F29" s="80"/>
      <c r="G29" s="80"/>
      <c r="H29" s="81"/>
      <c r="I29" s="81"/>
      <c r="J29" s="10"/>
      <c r="K29" s="10"/>
      <c r="L29" s="10"/>
      <c r="M29" s="10"/>
      <c r="N29" s="10"/>
      <c r="O29" s="10"/>
      <c r="P29" s="10"/>
      <c r="Q29" s="10"/>
      <c r="R29" s="10"/>
      <c r="S29" s="10"/>
      <c r="T29" s="10"/>
    </row>
    <row r="30" ht="30" customHeight="1" spans="1:20">
      <c r="A30" s="78" t="s">
        <v>125</v>
      </c>
      <c r="B30" s="78"/>
      <c r="C30" s="78">
        <v>100</v>
      </c>
      <c r="D30" s="82"/>
      <c r="E30" s="78">
        <v>100</v>
      </c>
      <c r="F30" s="80"/>
      <c r="G30" s="80"/>
      <c r="H30" s="81"/>
      <c r="I30" s="81"/>
      <c r="J30" s="83"/>
      <c r="K30" s="83"/>
      <c r="L30" s="83"/>
      <c r="M30" s="83"/>
      <c r="N30" s="83"/>
      <c r="O30" s="83"/>
      <c r="P30" s="83"/>
      <c r="Q30" s="83"/>
      <c r="R30" s="83"/>
      <c r="S30" s="83"/>
      <c r="T30" s="83"/>
    </row>
  </sheetData>
  <autoFilter xmlns:etc="http://www.wps.cn/officeDocument/2017/etCustomData" ref="A1:XFD1048575" etc:filterBottomFollowUsedRange="0">
    <extLst/>
  </autoFilter>
  <mergeCells count="28">
    <mergeCell ref="A1:B1"/>
    <mergeCell ref="A30:B30"/>
    <mergeCell ref="A2:A9"/>
    <mergeCell ref="A10:A24"/>
    <mergeCell ref="A25:A26"/>
    <mergeCell ref="A27:A28"/>
    <mergeCell ref="B2:B3"/>
    <mergeCell ref="B4:B6"/>
    <mergeCell ref="B7:B9"/>
    <mergeCell ref="B12:B13"/>
    <mergeCell ref="B14:B17"/>
    <mergeCell ref="B18:B21"/>
    <mergeCell ref="B22:B24"/>
    <mergeCell ref="B25:B26"/>
    <mergeCell ref="B27:B28"/>
    <mergeCell ref="C2:C3"/>
    <mergeCell ref="C4:C6"/>
    <mergeCell ref="C7:C9"/>
    <mergeCell ref="C12:C13"/>
    <mergeCell ref="C14:C17"/>
    <mergeCell ref="C18:C21"/>
    <mergeCell ref="C22:C24"/>
    <mergeCell ref="C25:C26"/>
    <mergeCell ref="C27:C28"/>
    <mergeCell ref="D20:D21"/>
    <mergeCell ref="F4:F6"/>
    <mergeCell ref="F20:F21"/>
    <mergeCell ref="G4:G6"/>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32"/>
  <sheetViews>
    <sheetView topLeftCell="G1" workbookViewId="0">
      <selection activeCell="Z33" sqref="Z33"/>
    </sheetView>
  </sheetViews>
  <sheetFormatPr defaultColWidth="9" defaultRowHeight="15.6"/>
  <cols>
    <col min="4" max="4" width="23.75" customWidth="1"/>
    <col min="6" max="6" width="11.6287878787879" customWidth="1"/>
    <col min="7" max="7" width="19.6287878787879" customWidth="1"/>
    <col min="8" max="8" width="16.5" customWidth="1"/>
    <col min="9" max="9" width="17.5" customWidth="1"/>
    <col min="23" max="24" width="12.6287878787879"/>
  </cols>
  <sheetData>
    <row r="1" spans="1:27">
      <c r="A1" s="27" t="s">
        <v>0</v>
      </c>
      <c r="B1" s="28"/>
      <c r="C1" s="27" t="s">
        <v>1</v>
      </c>
      <c r="D1" s="27" t="s">
        <v>2</v>
      </c>
      <c r="E1" s="27" t="s">
        <v>3</v>
      </c>
      <c r="F1" s="29" t="s">
        <v>126</v>
      </c>
      <c r="G1" s="29" t="s">
        <v>4</v>
      </c>
      <c r="H1" s="29" t="s">
        <v>5</v>
      </c>
      <c r="I1" s="27" t="s">
        <v>6</v>
      </c>
      <c r="J1" s="27" t="s">
        <v>127</v>
      </c>
      <c r="K1" s="27" t="s">
        <v>128</v>
      </c>
      <c r="L1" s="27" t="s">
        <v>129</v>
      </c>
      <c r="M1" s="27" t="s">
        <v>127</v>
      </c>
      <c r="N1" s="27" t="s">
        <v>128</v>
      </c>
      <c r="O1" s="28"/>
      <c r="P1" s="28"/>
      <c r="Q1" s="27" t="s">
        <v>129</v>
      </c>
      <c r="R1" s="30" t="s">
        <v>127</v>
      </c>
      <c r="S1" s="30" t="s">
        <v>128</v>
      </c>
      <c r="T1" s="31"/>
      <c r="U1" s="31"/>
      <c r="V1" s="30" t="s">
        <v>129</v>
      </c>
      <c r="W1" s="32" t="s">
        <v>127</v>
      </c>
      <c r="X1" s="32" t="s">
        <v>128</v>
      </c>
      <c r="Y1" s="33"/>
      <c r="Z1" s="33"/>
      <c r="AA1" s="32" t="s">
        <v>129</v>
      </c>
    </row>
    <row r="2" spans="1:27">
      <c r="A2" s="28"/>
      <c r="B2" s="28"/>
      <c r="C2" s="28"/>
      <c r="D2" s="28"/>
      <c r="E2" s="28"/>
      <c r="F2" s="34"/>
      <c r="G2" s="34"/>
      <c r="H2" s="34"/>
      <c r="I2" s="28"/>
      <c r="J2" s="28"/>
      <c r="K2" s="28"/>
      <c r="L2" s="28"/>
      <c r="M2" s="27" t="s">
        <v>130</v>
      </c>
      <c r="N2" s="27" t="s">
        <v>131</v>
      </c>
      <c r="O2" s="27" t="s">
        <v>132</v>
      </c>
      <c r="P2" s="27" t="s">
        <v>133</v>
      </c>
      <c r="Q2" s="27" t="s">
        <v>134</v>
      </c>
      <c r="R2" s="30" t="s">
        <v>130</v>
      </c>
      <c r="S2" s="30" t="s">
        <v>131</v>
      </c>
      <c r="T2" s="30" t="s">
        <v>132</v>
      </c>
      <c r="U2" s="30" t="s">
        <v>133</v>
      </c>
      <c r="V2" s="30" t="s">
        <v>134</v>
      </c>
      <c r="W2" s="32" t="s">
        <v>130</v>
      </c>
      <c r="X2" s="32" t="s">
        <v>131</v>
      </c>
      <c r="Y2" s="32" t="s">
        <v>132</v>
      </c>
      <c r="Z2" s="32" t="s">
        <v>133</v>
      </c>
      <c r="AA2" s="32" t="s">
        <v>134</v>
      </c>
    </row>
    <row r="3" spans="1:27">
      <c r="A3" s="35" t="s">
        <v>19</v>
      </c>
      <c r="B3" s="35" t="s">
        <v>20</v>
      </c>
      <c r="C3" s="35">
        <v>14</v>
      </c>
      <c r="D3" s="35" t="s">
        <v>21</v>
      </c>
      <c r="E3" s="35">
        <v>10</v>
      </c>
      <c r="F3" s="36">
        <v>9.3</v>
      </c>
      <c r="G3" s="37" t="s">
        <v>22</v>
      </c>
      <c r="H3" s="37" t="s">
        <v>23</v>
      </c>
      <c r="I3" s="38" t="s">
        <v>24</v>
      </c>
      <c r="J3" s="35">
        <v>1</v>
      </c>
      <c r="K3" s="35">
        <v>1</v>
      </c>
      <c r="L3" s="35">
        <v>1</v>
      </c>
      <c r="M3" s="35">
        <v>1</v>
      </c>
      <c r="N3" s="35">
        <v>1</v>
      </c>
      <c r="O3" s="35">
        <v>1</v>
      </c>
      <c r="P3" s="35">
        <v>1</v>
      </c>
      <c r="Q3" s="35">
        <v>1</v>
      </c>
      <c r="R3" s="35">
        <f>$E3*J3*M3</f>
        <v>10</v>
      </c>
      <c r="S3" s="35">
        <f>$E3*K3*N3</f>
        <v>10</v>
      </c>
      <c r="T3" s="35">
        <f>$E3*K3*O3</f>
        <v>10</v>
      </c>
      <c r="U3" s="35">
        <f>$E3*K3*P3</f>
        <v>10</v>
      </c>
      <c r="V3" s="35">
        <f>$E3*L3*Q3</f>
        <v>10</v>
      </c>
      <c r="W3" s="36">
        <f>$F3*J3*M3</f>
        <v>9.3</v>
      </c>
      <c r="X3" s="36">
        <f>$F3*K3*N3</f>
        <v>9.3</v>
      </c>
      <c r="Y3" s="36">
        <f>$F3*K3*O3</f>
        <v>9.3</v>
      </c>
      <c r="Z3" s="36">
        <f>$F3*K3*P3</f>
        <v>9.3</v>
      </c>
      <c r="AA3" s="36">
        <f>$F3*L3*Q3</f>
        <v>9.3</v>
      </c>
    </row>
    <row r="4" spans="1:27">
      <c r="A4" s="35"/>
      <c r="B4" s="35"/>
      <c r="C4" s="35"/>
      <c r="D4" s="35" t="s">
        <v>26</v>
      </c>
      <c r="E4" s="35">
        <v>2</v>
      </c>
      <c r="F4" s="36">
        <v>2</v>
      </c>
      <c r="G4" s="37" t="s">
        <v>27</v>
      </c>
      <c r="H4" s="37" t="s">
        <v>28</v>
      </c>
      <c r="I4" s="38" t="s">
        <v>24</v>
      </c>
      <c r="J4" s="35">
        <v>1</v>
      </c>
      <c r="K4" s="35">
        <v>1</v>
      </c>
      <c r="L4" s="35">
        <v>1</v>
      </c>
      <c r="M4" s="35">
        <v>1</v>
      </c>
      <c r="N4" s="35">
        <v>1</v>
      </c>
      <c r="O4" s="35">
        <v>1</v>
      </c>
      <c r="P4" s="35">
        <v>1</v>
      </c>
      <c r="Q4" s="35">
        <v>1</v>
      </c>
      <c r="R4" s="35">
        <f>$E4*J4*M4</f>
        <v>2</v>
      </c>
      <c r="S4" s="35">
        <f>$E4*K4*N4</f>
        <v>2</v>
      </c>
      <c r="T4" s="35">
        <f>$E4*K4*O4</f>
        <v>2</v>
      </c>
      <c r="U4" s="35">
        <f>$E4*K4*P4</f>
        <v>2</v>
      </c>
      <c r="V4" s="35">
        <f>$E4*L4*Q4</f>
        <v>2</v>
      </c>
      <c r="W4" s="36">
        <f t="shared" ref="W4:W29" si="0">F4*J4*M4</f>
        <v>2</v>
      </c>
      <c r="X4" s="36">
        <f t="shared" ref="X4:X29" si="1">$F4*K4*N4</f>
        <v>2</v>
      </c>
      <c r="Y4" s="36">
        <f>$F4*K4*O4</f>
        <v>2</v>
      </c>
      <c r="Z4" s="36">
        <f>$F4*K4*P4</f>
        <v>2</v>
      </c>
      <c r="AA4" s="36">
        <f>$F4*L4*Q4</f>
        <v>2</v>
      </c>
    </row>
    <row r="5" spans="1:27">
      <c r="A5" s="35"/>
      <c r="B5" s="35" t="s">
        <v>30</v>
      </c>
      <c r="C5" s="35">
        <v>14</v>
      </c>
      <c r="D5" s="35" t="s">
        <v>31</v>
      </c>
      <c r="E5" s="35">
        <v>5</v>
      </c>
      <c r="F5" s="36">
        <v>2.5</v>
      </c>
      <c r="G5" s="39" t="s">
        <v>135</v>
      </c>
      <c r="H5" s="40" t="s">
        <v>33</v>
      </c>
      <c r="I5" s="38" t="s">
        <v>34</v>
      </c>
      <c r="J5" s="35">
        <v>1</v>
      </c>
      <c r="K5" s="35">
        <v>0.6</v>
      </c>
      <c r="L5" s="35">
        <v>0</v>
      </c>
      <c r="M5" s="35">
        <v>1</v>
      </c>
      <c r="N5" s="35">
        <v>0.3</v>
      </c>
      <c r="O5" s="35">
        <v>0.3</v>
      </c>
      <c r="P5" s="35">
        <v>0.6</v>
      </c>
      <c r="Q5" s="35">
        <v>0</v>
      </c>
      <c r="R5" s="35">
        <f>$E5*J5*M5</f>
        <v>5</v>
      </c>
      <c r="S5" s="35">
        <f>$E5*K5*N5</f>
        <v>0.9</v>
      </c>
      <c r="T5" s="35">
        <f>$E5*K5*O5</f>
        <v>0.9</v>
      </c>
      <c r="U5" s="35">
        <f>$E5*K5*P5</f>
        <v>1.8</v>
      </c>
      <c r="V5" s="35">
        <f>$E5*L5*Q5</f>
        <v>0</v>
      </c>
      <c r="W5" s="36">
        <f t="shared" ref="W5:W12" si="2">F5*J5*M5</f>
        <v>2.5</v>
      </c>
      <c r="X5" s="36">
        <f t="shared" ref="X5:X12" si="3">$F5*K5*N5</f>
        <v>0.45</v>
      </c>
      <c r="Y5" s="36">
        <f t="shared" ref="Y5:Y13" si="4">$F5*K5*O5</f>
        <v>0.45</v>
      </c>
      <c r="Z5" s="36">
        <f t="shared" ref="Z5:Z13" si="5">$F5*K5*P5</f>
        <v>0.9</v>
      </c>
      <c r="AA5" s="36">
        <f t="shared" ref="AA5:AA13" si="6">$F5*L5*Q5</f>
        <v>0</v>
      </c>
    </row>
    <row r="6" spans="1:27">
      <c r="A6" s="35"/>
      <c r="B6" s="35"/>
      <c r="C6" s="35"/>
      <c r="D6" s="35" t="s">
        <v>36</v>
      </c>
      <c r="E6" s="35">
        <v>5</v>
      </c>
      <c r="F6" s="36">
        <v>3.45</v>
      </c>
      <c r="G6" s="41"/>
      <c r="H6" s="42"/>
      <c r="I6" s="38" t="s">
        <v>37</v>
      </c>
      <c r="J6" s="35">
        <v>0</v>
      </c>
      <c r="K6" s="35">
        <v>0.6</v>
      </c>
      <c r="L6" s="35">
        <v>1</v>
      </c>
      <c r="M6" s="35">
        <v>0</v>
      </c>
      <c r="N6" s="35">
        <v>0.3</v>
      </c>
      <c r="O6" s="35">
        <v>0.6</v>
      </c>
      <c r="P6" s="35">
        <v>0.3</v>
      </c>
      <c r="Q6" s="35">
        <v>1</v>
      </c>
      <c r="R6" s="35">
        <f>$E6*J6*M6</f>
        <v>0</v>
      </c>
      <c r="S6" s="35">
        <f>$E6*K6*N6</f>
        <v>0.9</v>
      </c>
      <c r="T6" s="35">
        <f>$E6*K6*O6</f>
        <v>1.8</v>
      </c>
      <c r="U6" s="35">
        <f>$E6*K6*P6</f>
        <v>0.9</v>
      </c>
      <c r="V6" s="35">
        <f>$E6*L6*Q6</f>
        <v>5</v>
      </c>
      <c r="W6" s="36">
        <f t="shared" si="2"/>
        <v>0</v>
      </c>
      <c r="X6" s="36">
        <f t="shared" si="3"/>
        <v>0.621</v>
      </c>
      <c r="Y6" s="36">
        <f t="shared" si="4"/>
        <v>1.242</v>
      </c>
      <c r="Z6" s="36">
        <f t="shared" si="5"/>
        <v>0.621</v>
      </c>
      <c r="AA6" s="36">
        <f t="shared" si="6"/>
        <v>3.45</v>
      </c>
    </row>
    <row r="7" spans="1:27">
      <c r="A7" s="35"/>
      <c r="B7" s="35"/>
      <c r="C7" s="35"/>
      <c r="D7" s="35" t="s">
        <v>39</v>
      </c>
      <c r="E7" s="35">
        <v>4</v>
      </c>
      <c r="F7" s="36">
        <v>2.39272727272727</v>
      </c>
      <c r="G7" s="43"/>
      <c r="H7" s="44"/>
      <c r="I7" s="38" t="s">
        <v>37</v>
      </c>
      <c r="J7" s="35">
        <v>0</v>
      </c>
      <c r="K7" s="35">
        <v>0.3</v>
      </c>
      <c r="L7" s="35">
        <v>1</v>
      </c>
      <c r="M7" s="35">
        <v>0</v>
      </c>
      <c r="N7" s="35">
        <v>0.3</v>
      </c>
      <c r="O7" s="35">
        <v>0.6</v>
      </c>
      <c r="P7" s="35">
        <v>0.3</v>
      </c>
      <c r="Q7" s="35">
        <v>1</v>
      </c>
      <c r="R7" s="35">
        <f>$E7*J7*M7</f>
        <v>0</v>
      </c>
      <c r="S7" s="35">
        <f>$E7*K7*N7</f>
        <v>0.36</v>
      </c>
      <c r="T7" s="35">
        <f>$E7*K7*O7</f>
        <v>0.72</v>
      </c>
      <c r="U7" s="35">
        <f>$E7*K7*P7</f>
        <v>0.36</v>
      </c>
      <c r="V7" s="35">
        <f>$E7*L7*Q7</f>
        <v>4</v>
      </c>
      <c r="W7" s="36">
        <f t="shared" si="2"/>
        <v>0</v>
      </c>
      <c r="X7" s="36">
        <f t="shared" si="3"/>
        <v>0.215345454545454</v>
      </c>
      <c r="Y7" s="36">
        <f t="shared" si="4"/>
        <v>0.430690909090909</v>
      </c>
      <c r="Z7" s="36">
        <f t="shared" si="5"/>
        <v>0.215345454545454</v>
      </c>
      <c r="AA7" s="36">
        <f t="shared" si="6"/>
        <v>2.39272727272727</v>
      </c>
    </row>
    <row r="8" spans="1:27">
      <c r="A8" s="35"/>
      <c r="B8" s="35" t="s">
        <v>40</v>
      </c>
      <c r="C8" s="35">
        <v>17</v>
      </c>
      <c r="D8" s="35" t="s">
        <v>41</v>
      </c>
      <c r="E8" s="35">
        <v>9</v>
      </c>
      <c r="F8" s="36">
        <v>9</v>
      </c>
      <c r="G8" s="37" t="s">
        <v>42</v>
      </c>
      <c r="H8" s="37" t="s">
        <v>43</v>
      </c>
      <c r="I8" s="38" t="s">
        <v>24</v>
      </c>
      <c r="J8" s="35">
        <v>0.6</v>
      </c>
      <c r="K8" s="35">
        <v>1</v>
      </c>
      <c r="L8" s="35">
        <v>0.3</v>
      </c>
      <c r="M8" s="35">
        <v>1</v>
      </c>
      <c r="N8" s="35">
        <v>1</v>
      </c>
      <c r="O8" s="35">
        <v>1</v>
      </c>
      <c r="P8" s="35">
        <v>1</v>
      </c>
      <c r="Q8" s="35">
        <v>1</v>
      </c>
      <c r="R8" s="35">
        <f t="shared" ref="R8:R29" si="7">$E8*J8*M8</f>
        <v>5.4</v>
      </c>
      <c r="S8" s="35">
        <f t="shared" ref="S8:S29" si="8">$E8*K8*N8</f>
        <v>9</v>
      </c>
      <c r="T8" s="35">
        <f t="shared" ref="T8:T29" si="9">$E8*K8*O8</f>
        <v>9</v>
      </c>
      <c r="U8" s="35">
        <f t="shared" ref="U8:U29" si="10">$E8*K8*P8</f>
        <v>9</v>
      </c>
      <c r="V8" s="35">
        <f t="shared" ref="V8:V29" si="11">$E8*L8*Q8</f>
        <v>2.7</v>
      </c>
      <c r="W8" s="36">
        <f t="shared" si="2"/>
        <v>5.4</v>
      </c>
      <c r="X8" s="36">
        <f t="shared" si="3"/>
        <v>9</v>
      </c>
      <c r="Y8" s="36">
        <f t="shared" si="4"/>
        <v>9</v>
      </c>
      <c r="Z8" s="36">
        <f t="shared" si="5"/>
        <v>9</v>
      </c>
      <c r="AA8" s="36">
        <f t="shared" si="6"/>
        <v>2.7</v>
      </c>
    </row>
    <row r="9" spans="1:27">
      <c r="A9" s="35"/>
      <c r="B9" s="35"/>
      <c r="C9" s="35"/>
      <c r="D9" s="35" t="s">
        <v>136</v>
      </c>
      <c r="E9" s="35">
        <v>3</v>
      </c>
      <c r="F9" s="36">
        <v>3</v>
      </c>
      <c r="G9" s="37" t="s">
        <v>46</v>
      </c>
      <c r="H9" s="37" t="s">
        <v>47</v>
      </c>
      <c r="I9" s="38" t="s">
        <v>34</v>
      </c>
      <c r="J9" s="35">
        <v>0.3</v>
      </c>
      <c r="K9" s="35">
        <v>1</v>
      </c>
      <c r="L9" s="35">
        <v>0</v>
      </c>
      <c r="M9" s="35">
        <v>1</v>
      </c>
      <c r="N9" s="35">
        <v>0.3</v>
      </c>
      <c r="O9" s="35">
        <v>0.3</v>
      </c>
      <c r="P9" s="35">
        <v>1</v>
      </c>
      <c r="Q9" s="35">
        <v>0</v>
      </c>
      <c r="R9" s="35">
        <f t="shared" si="7"/>
        <v>0.9</v>
      </c>
      <c r="S9" s="35">
        <f t="shared" si="8"/>
        <v>0.9</v>
      </c>
      <c r="T9" s="35">
        <f t="shared" si="9"/>
        <v>0.9</v>
      </c>
      <c r="U9" s="35">
        <f t="shared" si="10"/>
        <v>3</v>
      </c>
      <c r="V9" s="35">
        <f t="shared" si="11"/>
        <v>0</v>
      </c>
      <c r="W9" s="36">
        <f t="shared" si="2"/>
        <v>0.9</v>
      </c>
      <c r="X9" s="36">
        <f t="shared" si="3"/>
        <v>0.9</v>
      </c>
      <c r="Y9" s="36">
        <f t="shared" si="4"/>
        <v>0.9</v>
      </c>
      <c r="Z9" s="36">
        <f t="shared" si="5"/>
        <v>3</v>
      </c>
      <c r="AA9" s="36">
        <f t="shared" si="6"/>
        <v>0</v>
      </c>
    </row>
    <row r="10" spans="1:27">
      <c r="A10" s="35"/>
      <c r="B10" s="35"/>
      <c r="C10" s="35"/>
      <c r="D10" s="35" t="s">
        <v>49</v>
      </c>
      <c r="E10" s="35">
        <v>5</v>
      </c>
      <c r="F10" s="36">
        <v>5</v>
      </c>
      <c r="G10" s="37" t="s">
        <v>50</v>
      </c>
      <c r="H10" s="37" t="s">
        <v>51</v>
      </c>
      <c r="I10" s="38" t="s">
        <v>34</v>
      </c>
      <c r="J10" s="35">
        <v>0.6</v>
      </c>
      <c r="K10" s="35">
        <v>1</v>
      </c>
      <c r="L10" s="35">
        <v>0</v>
      </c>
      <c r="M10" s="35">
        <v>1</v>
      </c>
      <c r="N10" s="35">
        <v>1</v>
      </c>
      <c r="O10" s="35">
        <v>0.3</v>
      </c>
      <c r="P10" s="35">
        <v>0.6</v>
      </c>
      <c r="Q10" s="35">
        <v>0</v>
      </c>
      <c r="R10" s="35">
        <f t="shared" si="7"/>
        <v>3</v>
      </c>
      <c r="S10" s="35">
        <f t="shared" si="8"/>
        <v>5</v>
      </c>
      <c r="T10" s="35">
        <f t="shared" si="9"/>
        <v>1.5</v>
      </c>
      <c r="U10" s="35">
        <f t="shared" si="10"/>
        <v>3</v>
      </c>
      <c r="V10" s="35">
        <f t="shared" si="11"/>
        <v>0</v>
      </c>
      <c r="W10" s="36">
        <f t="shared" si="2"/>
        <v>3</v>
      </c>
      <c r="X10" s="36">
        <f t="shared" si="3"/>
        <v>5</v>
      </c>
      <c r="Y10" s="36">
        <f t="shared" si="4"/>
        <v>1.5</v>
      </c>
      <c r="Z10" s="36">
        <f t="shared" si="5"/>
        <v>3</v>
      </c>
      <c r="AA10" s="36">
        <f t="shared" si="6"/>
        <v>0</v>
      </c>
    </row>
    <row r="11" spans="1:27">
      <c r="A11" s="35" t="s">
        <v>52</v>
      </c>
      <c r="B11" s="35" t="s">
        <v>53</v>
      </c>
      <c r="C11" s="35">
        <v>10</v>
      </c>
      <c r="D11" s="35" t="s">
        <v>54</v>
      </c>
      <c r="E11" s="35">
        <v>10</v>
      </c>
      <c r="F11" s="36">
        <v>10</v>
      </c>
      <c r="G11" s="37" t="s">
        <v>55</v>
      </c>
      <c r="H11" s="37" t="s">
        <v>56</v>
      </c>
      <c r="I11" s="38" t="s">
        <v>24</v>
      </c>
      <c r="J11" s="35">
        <v>1</v>
      </c>
      <c r="K11" s="35">
        <v>1</v>
      </c>
      <c r="L11" s="35">
        <v>1</v>
      </c>
      <c r="M11" s="35">
        <v>1</v>
      </c>
      <c r="N11" s="35">
        <v>1</v>
      </c>
      <c r="O11" s="35">
        <v>1</v>
      </c>
      <c r="P11" s="35">
        <v>1</v>
      </c>
      <c r="Q11" s="35">
        <v>1</v>
      </c>
      <c r="R11" s="35" t="s">
        <v>111</v>
      </c>
      <c r="S11" s="35" t="s">
        <v>111</v>
      </c>
      <c r="T11" s="35" t="s">
        <v>111</v>
      </c>
      <c r="U11" s="35" t="s">
        <v>111</v>
      </c>
      <c r="V11" s="35" t="s">
        <v>111</v>
      </c>
      <c r="W11" s="36" t="s">
        <v>111</v>
      </c>
      <c r="X11" s="36" t="s">
        <v>111</v>
      </c>
      <c r="Y11" s="36" t="s">
        <v>111</v>
      </c>
      <c r="Z11" s="36" t="s">
        <v>111</v>
      </c>
      <c r="AA11" s="36" t="s">
        <v>111</v>
      </c>
    </row>
    <row r="12" spans="1:27">
      <c r="A12" s="35"/>
      <c r="B12" s="35" t="s">
        <v>58</v>
      </c>
      <c r="C12" s="35">
        <v>10</v>
      </c>
      <c r="D12" s="35" t="s">
        <v>59</v>
      </c>
      <c r="E12" s="35">
        <v>10</v>
      </c>
      <c r="F12" s="36">
        <v>10</v>
      </c>
      <c r="G12" s="37" t="s">
        <v>60</v>
      </c>
      <c r="H12" s="37" t="s">
        <v>61</v>
      </c>
      <c r="I12" s="38" t="s">
        <v>24</v>
      </c>
      <c r="J12" s="35">
        <v>1</v>
      </c>
      <c r="K12" s="35">
        <v>1</v>
      </c>
      <c r="L12" s="35">
        <v>1</v>
      </c>
      <c r="M12" s="35">
        <v>1</v>
      </c>
      <c r="N12" s="35">
        <v>1</v>
      </c>
      <c r="O12" s="35">
        <v>1</v>
      </c>
      <c r="P12" s="35">
        <v>1</v>
      </c>
      <c r="Q12" s="35">
        <v>1</v>
      </c>
      <c r="R12" s="35">
        <f t="shared" si="7"/>
        <v>10</v>
      </c>
      <c r="S12" s="35">
        <f t="shared" si="8"/>
        <v>10</v>
      </c>
      <c r="T12" s="35">
        <f t="shared" si="9"/>
        <v>10</v>
      </c>
      <c r="U12" s="35">
        <f t="shared" si="10"/>
        <v>10</v>
      </c>
      <c r="V12" s="35">
        <f t="shared" si="11"/>
        <v>10</v>
      </c>
      <c r="W12" s="36">
        <f t="shared" si="2"/>
        <v>10</v>
      </c>
      <c r="X12" s="36">
        <f t="shared" si="3"/>
        <v>10</v>
      </c>
      <c r="Y12" s="36">
        <f t="shared" si="4"/>
        <v>10</v>
      </c>
      <c r="Z12" s="36">
        <f t="shared" si="5"/>
        <v>10</v>
      </c>
      <c r="AA12" s="36">
        <f t="shared" si="6"/>
        <v>10</v>
      </c>
    </row>
    <row r="13" spans="1:27">
      <c r="A13" s="35"/>
      <c r="B13" s="35" t="s">
        <v>63</v>
      </c>
      <c r="C13" s="35">
        <v>6</v>
      </c>
      <c r="D13" s="35" t="s">
        <v>64</v>
      </c>
      <c r="E13" s="35">
        <v>2</v>
      </c>
      <c r="F13" s="36">
        <v>2</v>
      </c>
      <c r="G13" s="38" t="s">
        <v>65</v>
      </c>
      <c r="H13" s="38" t="s">
        <v>137</v>
      </c>
      <c r="I13" s="38" t="s">
        <v>24</v>
      </c>
      <c r="J13" s="35">
        <v>1</v>
      </c>
      <c r="K13" s="35">
        <v>1</v>
      </c>
      <c r="L13" s="45">
        <v>1</v>
      </c>
      <c r="M13" s="35">
        <v>1</v>
      </c>
      <c r="N13" s="35">
        <v>1</v>
      </c>
      <c r="O13" s="35">
        <v>0.3</v>
      </c>
      <c r="P13" s="35">
        <v>0.3</v>
      </c>
      <c r="Q13" s="35">
        <v>1</v>
      </c>
      <c r="R13" s="35">
        <f t="shared" si="7"/>
        <v>2</v>
      </c>
      <c r="S13" s="35">
        <f t="shared" si="8"/>
        <v>2</v>
      </c>
      <c r="T13" s="35">
        <f t="shared" si="9"/>
        <v>0.6</v>
      </c>
      <c r="U13" s="35">
        <f t="shared" si="10"/>
        <v>0.6</v>
      </c>
      <c r="V13" s="35">
        <f t="shared" si="11"/>
        <v>2</v>
      </c>
      <c r="W13" s="36">
        <f t="shared" si="0"/>
        <v>2</v>
      </c>
      <c r="X13" s="36">
        <f t="shared" si="1"/>
        <v>2</v>
      </c>
      <c r="Y13" s="36">
        <f t="shared" si="4"/>
        <v>0.6</v>
      </c>
      <c r="Z13" s="36">
        <f t="shared" si="5"/>
        <v>0.6</v>
      </c>
      <c r="AA13" s="36">
        <f t="shared" si="6"/>
        <v>2</v>
      </c>
    </row>
    <row r="14" spans="1:27">
      <c r="A14" s="35"/>
      <c r="B14" s="35"/>
      <c r="C14" s="35"/>
      <c r="D14" s="35" t="s">
        <v>68</v>
      </c>
      <c r="E14" s="35">
        <v>4</v>
      </c>
      <c r="F14" s="36">
        <v>4</v>
      </c>
      <c r="G14" s="46" t="s">
        <v>69</v>
      </c>
      <c r="H14" s="46" t="s">
        <v>70</v>
      </c>
      <c r="I14" s="38" t="s">
        <v>24</v>
      </c>
      <c r="J14" s="35">
        <v>1</v>
      </c>
      <c r="K14" s="35">
        <v>1</v>
      </c>
      <c r="L14" s="35">
        <v>1</v>
      </c>
      <c r="M14" s="35">
        <v>1</v>
      </c>
      <c r="N14" s="35">
        <v>1</v>
      </c>
      <c r="O14" s="35">
        <v>1</v>
      </c>
      <c r="P14" s="35">
        <v>1</v>
      </c>
      <c r="Q14" s="35">
        <v>1</v>
      </c>
      <c r="R14" s="35">
        <f t="shared" si="7"/>
        <v>4</v>
      </c>
      <c r="S14" s="35">
        <f t="shared" si="8"/>
        <v>4</v>
      </c>
      <c r="T14" s="35">
        <f t="shared" si="9"/>
        <v>4</v>
      </c>
      <c r="U14" s="35">
        <f t="shared" si="10"/>
        <v>4</v>
      </c>
      <c r="V14" s="35">
        <f t="shared" si="11"/>
        <v>4</v>
      </c>
      <c r="W14" s="36">
        <f t="shared" si="0"/>
        <v>4</v>
      </c>
      <c r="X14" s="36">
        <f t="shared" si="1"/>
        <v>4</v>
      </c>
      <c r="Y14" s="36">
        <f t="shared" ref="Y14:Y25" si="12">$F14*K14*O14</f>
        <v>4</v>
      </c>
      <c r="Z14" s="36">
        <f t="shared" ref="Z14:Z25" si="13">$F14*K14*P14</f>
        <v>4</v>
      </c>
      <c r="AA14" s="36">
        <f t="shared" ref="AA14:AA25" si="14">$F14*L14*Q14</f>
        <v>4</v>
      </c>
    </row>
    <row r="15" spans="1:27">
      <c r="A15" s="35"/>
      <c r="B15" s="35" t="s">
        <v>71</v>
      </c>
      <c r="C15" s="35">
        <v>11</v>
      </c>
      <c r="D15" s="35" t="s">
        <v>72</v>
      </c>
      <c r="E15" s="35">
        <v>3</v>
      </c>
      <c r="F15" s="36">
        <v>2.57</v>
      </c>
      <c r="G15" s="37" t="s">
        <v>73</v>
      </c>
      <c r="H15" s="37" t="s">
        <v>74</v>
      </c>
      <c r="I15" s="38" t="s">
        <v>34</v>
      </c>
      <c r="J15" s="35">
        <v>1</v>
      </c>
      <c r="K15" s="35">
        <v>0.3</v>
      </c>
      <c r="L15" s="35">
        <v>0</v>
      </c>
      <c r="M15" s="35">
        <v>1</v>
      </c>
      <c r="N15" s="35">
        <v>0.3</v>
      </c>
      <c r="O15" s="35">
        <v>0.3</v>
      </c>
      <c r="P15" s="35">
        <v>1</v>
      </c>
      <c r="Q15" s="35">
        <v>0</v>
      </c>
      <c r="R15" s="35">
        <f t="shared" si="7"/>
        <v>3</v>
      </c>
      <c r="S15" s="35">
        <f t="shared" si="8"/>
        <v>0.27</v>
      </c>
      <c r="T15" s="35">
        <f t="shared" si="9"/>
        <v>0.27</v>
      </c>
      <c r="U15" s="35">
        <f t="shared" si="10"/>
        <v>0.9</v>
      </c>
      <c r="V15" s="35">
        <f t="shared" si="11"/>
        <v>0</v>
      </c>
      <c r="W15" s="36">
        <f t="shared" si="0"/>
        <v>2.57</v>
      </c>
      <c r="X15" s="36">
        <f t="shared" si="1"/>
        <v>0.2313</v>
      </c>
      <c r="Y15" s="36">
        <f t="shared" si="12"/>
        <v>0.2313</v>
      </c>
      <c r="Z15" s="36">
        <f t="shared" si="13"/>
        <v>0.771</v>
      </c>
      <c r="AA15" s="36">
        <f t="shared" si="14"/>
        <v>0</v>
      </c>
    </row>
    <row r="16" spans="1:27">
      <c r="A16" s="35"/>
      <c r="B16" s="35"/>
      <c r="C16" s="35"/>
      <c r="D16" s="35" t="s">
        <v>76</v>
      </c>
      <c r="E16" s="35">
        <v>3</v>
      </c>
      <c r="F16" s="36">
        <v>3</v>
      </c>
      <c r="G16" s="37" t="s">
        <v>77</v>
      </c>
      <c r="H16" s="37" t="s">
        <v>78</v>
      </c>
      <c r="I16" s="38" t="s">
        <v>34</v>
      </c>
      <c r="J16" s="35">
        <v>1</v>
      </c>
      <c r="K16" s="35">
        <v>1</v>
      </c>
      <c r="L16" s="35">
        <v>0</v>
      </c>
      <c r="M16" s="35">
        <v>1</v>
      </c>
      <c r="N16" s="35">
        <v>0.3</v>
      </c>
      <c r="O16" s="35">
        <v>0.3</v>
      </c>
      <c r="P16" s="35">
        <v>1</v>
      </c>
      <c r="Q16" s="35">
        <v>0</v>
      </c>
      <c r="R16" s="35">
        <f t="shared" si="7"/>
        <v>3</v>
      </c>
      <c r="S16" s="35">
        <f t="shared" si="8"/>
        <v>0.9</v>
      </c>
      <c r="T16" s="35">
        <f t="shared" si="9"/>
        <v>0.9</v>
      </c>
      <c r="U16" s="35">
        <f t="shared" si="10"/>
        <v>3</v>
      </c>
      <c r="V16" s="35">
        <f t="shared" si="11"/>
        <v>0</v>
      </c>
      <c r="W16" s="36">
        <f t="shared" si="0"/>
        <v>3</v>
      </c>
      <c r="X16" s="36">
        <f t="shared" si="1"/>
        <v>0.9</v>
      </c>
      <c r="Y16" s="36">
        <f t="shared" si="12"/>
        <v>0.9</v>
      </c>
      <c r="Z16" s="36">
        <f t="shared" si="13"/>
        <v>3</v>
      </c>
      <c r="AA16" s="36">
        <f t="shared" si="14"/>
        <v>0</v>
      </c>
    </row>
    <row r="17" spans="1:27">
      <c r="A17" s="35"/>
      <c r="B17" s="35"/>
      <c r="C17" s="35"/>
      <c r="D17" s="35" t="s">
        <v>79</v>
      </c>
      <c r="E17" s="35">
        <v>4</v>
      </c>
      <c r="F17" s="36">
        <v>2.54</v>
      </c>
      <c r="G17" s="37" t="s">
        <v>80</v>
      </c>
      <c r="H17" s="37" t="s">
        <v>81</v>
      </c>
      <c r="I17" s="38" t="s">
        <v>34</v>
      </c>
      <c r="J17" s="35">
        <v>1</v>
      </c>
      <c r="K17" s="35">
        <v>0.3</v>
      </c>
      <c r="L17" s="35">
        <v>0</v>
      </c>
      <c r="M17" s="35">
        <v>1</v>
      </c>
      <c r="N17" s="35">
        <v>0.3</v>
      </c>
      <c r="O17" s="35">
        <v>0.3</v>
      </c>
      <c r="P17" s="35">
        <v>1</v>
      </c>
      <c r="Q17" s="35">
        <v>0</v>
      </c>
      <c r="R17" s="35">
        <f t="shared" si="7"/>
        <v>4</v>
      </c>
      <c r="S17" s="35">
        <f t="shared" si="8"/>
        <v>0.36</v>
      </c>
      <c r="T17" s="35">
        <f t="shared" si="9"/>
        <v>0.36</v>
      </c>
      <c r="U17" s="35">
        <f t="shared" si="10"/>
        <v>1.2</v>
      </c>
      <c r="V17" s="35">
        <f t="shared" si="11"/>
        <v>0</v>
      </c>
      <c r="W17" s="36">
        <f t="shared" si="0"/>
        <v>2.54</v>
      </c>
      <c r="X17" s="36">
        <f t="shared" si="1"/>
        <v>0.2286</v>
      </c>
      <c r="Y17" s="36">
        <f t="shared" si="12"/>
        <v>0.2286</v>
      </c>
      <c r="Z17" s="36">
        <f t="shared" si="13"/>
        <v>0.762</v>
      </c>
      <c r="AA17" s="36">
        <f t="shared" si="14"/>
        <v>0</v>
      </c>
    </row>
    <row r="18" spans="1:27">
      <c r="A18" s="35"/>
      <c r="B18" s="35"/>
      <c r="C18" s="35"/>
      <c r="D18" s="35" t="s">
        <v>82</v>
      </c>
      <c r="E18" s="35">
        <v>1</v>
      </c>
      <c r="F18" s="36">
        <v>1</v>
      </c>
      <c r="G18" s="37" t="s">
        <v>83</v>
      </c>
      <c r="H18" s="37" t="s">
        <v>84</v>
      </c>
      <c r="I18" s="38" t="s">
        <v>34</v>
      </c>
      <c r="J18" s="35">
        <v>1</v>
      </c>
      <c r="K18" s="35">
        <v>1</v>
      </c>
      <c r="L18" s="35">
        <v>0</v>
      </c>
      <c r="M18" s="35">
        <v>1</v>
      </c>
      <c r="N18" s="35">
        <v>0.3</v>
      </c>
      <c r="O18" s="35">
        <v>0.3</v>
      </c>
      <c r="P18" s="35">
        <v>1</v>
      </c>
      <c r="Q18" s="35">
        <v>0</v>
      </c>
      <c r="R18" s="35">
        <f t="shared" si="7"/>
        <v>1</v>
      </c>
      <c r="S18" s="35">
        <f t="shared" si="8"/>
        <v>0.3</v>
      </c>
      <c r="T18" s="35">
        <f t="shared" si="9"/>
        <v>0.3</v>
      </c>
      <c r="U18" s="35">
        <f t="shared" si="10"/>
        <v>1</v>
      </c>
      <c r="V18" s="35">
        <f t="shared" si="11"/>
        <v>0</v>
      </c>
      <c r="W18" s="36">
        <f t="shared" si="0"/>
        <v>1</v>
      </c>
      <c r="X18" s="36">
        <f t="shared" si="1"/>
        <v>0.3</v>
      </c>
      <c r="Y18" s="36">
        <f t="shared" si="12"/>
        <v>0.3</v>
      </c>
      <c r="Z18" s="36">
        <f t="shared" si="13"/>
        <v>1</v>
      </c>
      <c r="AA18" s="36">
        <f t="shared" si="14"/>
        <v>0</v>
      </c>
    </row>
    <row r="19" spans="1:27">
      <c r="A19" s="35"/>
      <c r="B19" s="35" t="s">
        <v>85</v>
      </c>
      <c r="C19" s="35">
        <v>13</v>
      </c>
      <c r="D19" s="35" t="s">
        <v>86</v>
      </c>
      <c r="E19" s="35">
        <v>4</v>
      </c>
      <c r="F19" s="36">
        <v>3.13714285714286</v>
      </c>
      <c r="G19" s="37" t="s">
        <v>87</v>
      </c>
      <c r="H19" s="37" t="s">
        <v>88</v>
      </c>
      <c r="I19" s="38" t="s">
        <v>37</v>
      </c>
      <c r="J19" s="35">
        <v>0</v>
      </c>
      <c r="K19" s="35">
        <v>0.3</v>
      </c>
      <c r="L19" s="35">
        <v>1</v>
      </c>
      <c r="M19" s="35">
        <v>0</v>
      </c>
      <c r="N19" s="35">
        <v>0.3</v>
      </c>
      <c r="O19" s="35">
        <v>1</v>
      </c>
      <c r="P19" s="35">
        <v>0.3</v>
      </c>
      <c r="Q19" s="35">
        <v>1</v>
      </c>
      <c r="R19" s="35">
        <f t="shared" si="7"/>
        <v>0</v>
      </c>
      <c r="S19" s="35">
        <f t="shared" si="8"/>
        <v>0.36</v>
      </c>
      <c r="T19" s="35">
        <f t="shared" si="9"/>
        <v>1.2</v>
      </c>
      <c r="U19" s="35">
        <f t="shared" si="10"/>
        <v>0.36</v>
      </c>
      <c r="V19" s="35">
        <f t="shared" si="11"/>
        <v>4</v>
      </c>
      <c r="W19" s="36">
        <f t="shared" si="0"/>
        <v>0</v>
      </c>
      <c r="X19" s="36">
        <f t="shared" si="1"/>
        <v>0.282342857142857</v>
      </c>
      <c r="Y19" s="36">
        <f t="shared" si="12"/>
        <v>0.941142857142858</v>
      </c>
      <c r="Z19" s="36">
        <f t="shared" si="13"/>
        <v>0.282342857142857</v>
      </c>
      <c r="AA19" s="36">
        <f t="shared" si="14"/>
        <v>3.13714285714286</v>
      </c>
    </row>
    <row r="20" spans="1:27">
      <c r="A20" s="35"/>
      <c r="B20" s="35"/>
      <c r="C20" s="35"/>
      <c r="D20" s="35" t="s">
        <v>89</v>
      </c>
      <c r="E20" s="35">
        <v>3</v>
      </c>
      <c r="F20" s="36">
        <v>3</v>
      </c>
      <c r="G20" s="47" t="s">
        <v>90</v>
      </c>
      <c r="H20" s="48" t="s">
        <v>91</v>
      </c>
      <c r="I20" s="38" t="s">
        <v>24</v>
      </c>
      <c r="J20" s="35">
        <v>0</v>
      </c>
      <c r="K20" s="35">
        <v>1</v>
      </c>
      <c r="L20" s="35">
        <v>1</v>
      </c>
      <c r="M20" s="35">
        <v>0</v>
      </c>
      <c r="N20" s="35">
        <v>0.3</v>
      </c>
      <c r="O20" s="35">
        <v>1</v>
      </c>
      <c r="P20" s="35">
        <v>0.3</v>
      </c>
      <c r="Q20" s="35">
        <v>1</v>
      </c>
      <c r="R20" s="35">
        <f t="shared" si="7"/>
        <v>0</v>
      </c>
      <c r="S20" s="35">
        <f t="shared" si="8"/>
        <v>0.9</v>
      </c>
      <c r="T20" s="35">
        <f t="shared" si="9"/>
        <v>3</v>
      </c>
      <c r="U20" s="35">
        <f t="shared" si="10"/>
        <v>0.9</v>
      </c>
      <c r="V20" s="35">
        <f t="shared" si="11"/>
        <v>3</v>
      </c>
      <c r="W20" s="36">
        <f t="shared" si="0"/>
        <v>0</v>
      </c>
      <c r="X20" s="36">
        <f t="shared" si="1"/>
        <v>0.9</v>
      </c>
      <c r="Y20" s="36">
        <f t="shared" si="12"/>
        <v>3</v>
      </c>
      <c r="Z20" s="36">
        <f t="shared" si="13"/>
        <v>0.9</v>
      </c>
      <c r="AA20" s="36">
        <f t="shared" si="14"/>
        <v>3</v>
      </c>
    </row>
    <row r="21" spans="1:27">
      <c r="A21" s="35"/>
      <c r="B21" s="35"/>
      <c r="C21" s="35"/>
      <c r="D21" s="35" t="s">
        <v>92</v>
      </c>
      <c r="E21" s="35">
        <v>3</v>
      </c>
      <c r="F21" s="36">
        <v>3</v>
      </c>
      <c r="G21" s="47" t="s">
        <v>93</v>
      </c>
      <c r="H21" s="49" t="s">
        <v>138</v>
      </c>
      <c r="I21" s="38" t="s">
        <v>34</v>
      </c>
      <c r="J21" s="35">
        <v>1</v>
      </c>
      <c r="K21" s="35">
        <v>0.6</v>
      </c>
      <c r="L21" s="35">
        <v>0.3</v>
      </c>
      <c r="M21" s="35">
        <v>1</v>
      </c>
      <c r="N21" s="35">
        <v>1</v>
      </c>
      <c r="O21" s="35">
        <v>1</v>
      </c>
      <c r="P21" s="35">
        <v>0.3</v>
      </c>
      <c r="Q21" s="35">
        <v>1</v>
      </c>
      <c r="R21" s="35">
        <f t="shared" si="7"/>
        <v>3</v>
      </c>
      <c r="S21" s="35">
        <f t="shared" si="8"/>
        <v>1.8</v>
      </c>
      <c r="T21" s="35">
        <f t="shared" si="9"/>
        <v>1.8</v>
      </c>
      <c r="U21" s="35">
        <f t="shared" si="10"/>
        <v>0.54</v>
      </c>
      <c r="V21" s="35">
        <f t="shared" si="11"/>
        <v>0.9</v>
      </c>
      <c r="W21" s="36">
        <f t="shared" si="0"/>
        <v>3</v>
      </c>
      <c r="X21" s="36">
        <f t="shared" si="1"/>
        <v>1.8</v>
      </c>
      <c r="Y21" s="36">
        <f t="shared" si="12"/>
        <v>1.8</v>
      </c>
      <c r="Z21" s="36">
        <f t="shared" si="13"/>
        <v>0.54</v>
      </c>
      <c r="AA21" s="36">
        <f t="shared" si="14"/>
        <v>0.9</v>
      </c>
    </row>
    <row r="22" spans="1:27">
      <c r="A22" s="35"/>
      <c r="B22" s="35"/>
      <c r="C22" s="35"/>
      <c r="D22" s="35"/>
      <c r="E22" s="35">
        <v>3</v>
      </c>
      <c r="F22" s="36">
        <v>3</v>
      </c>
      <c r="G22" s="47"/>
      <c r="H22" s="47" t="s">
        <v>95</v>
      </c>
      <c r="I22" s="38" t="s">
        <v>37</v>
      </c>
      <c r="J22" s="35">
        <v>0</v>
      </c>
      <c r="K22" s="35">
        <v>0.3</v>
      </c>
      <c r="L22" s="35">
        <v>1</v>
      </c>
      <c r="M22" s="35">
        <v>0</v>
      </c>
      <c r="N22" s="35">
        <v>0.3</v>
      </c>
      <c r="O22" s="35">
        <v>1</v>
      </c>
      <c r="P22" s="35">
        <v>0.3</v>
      </c>
      <c r="Q22" s="35">
        <v>1</v>
      </c>
      <c r="R22" s="35">
        <f t="shared" si="7"/>
        <v>0</v>
      </c>
      <c r="S22" s="35">
        <f t="shared" si="8"/>
        <v>0.27</v>
      </c>
      <c r="T22" s="35">
        <f t="shared" si="9"/>
        <v>0.9</v>
      </c>
      <c r="U22" s="35">
        <f t="shared" si="10"/>
        <v>0.27</v>
      </c>
      <c r="V22" s="35">
        <f t="shared" si="11"/>
        <v>3</v>
      </c>
      <c r="W22" s="36">
        <f t="shared" si="0"/>
        <v>0</v>
      </c>
      <c r="X22" s="36">
        <f t="shared" si="1"/>
        <v>0.27</v>
      </c>
      <c r="Y22" s="36">
        <f t="shared" si="12"/>
        <v>0.9</v>
      </c>
      <c r="Z22" s="36">
        <f t="shared" si="13"/>
        <v>0.27</v>
      </c>
      <c r="AA22" s="36">
        <f t="shared" si="14"/>
        <v>3</v>
      </c>
    </row>
    <row r="23" spans="1:27">
      <c r="A23" s="35"/>
      <c r="B23" s="35" t="s">
        <v>96</v>
      </c>
      <c r="C23" s="35">
        <v>5</v>
      </c>
      <c r="D23" s="35" t="s">
        <v>97</v>
      </c>
      <c r="E23" s="35">
        <v>1</v>
      </c>
      <c r="F23" s="36">
        <v>1</v>
      </c>
      <c r="G23" s="38" t="s">
        <v>98</v>
      </c>
      <c r="H23" s="50" t="s">
        <v>99</v>
      </c>
      <c r="I23" s="38" t="s">
        <v>37</v>
      </c>
      <c r="J23" s="35">
        <v>0</v>
      </c>
      <c r="K23" s="35">
        <v>0.6</v>
      </c>
      <c r="L23" s="35">
        <v>1</v>
      </c>
      <c r="M23" s="35">
        <v>0</v>
      </c>
      <c r="N23" s="35">
        <v>0.3</v>
      </c>
      <c r="O23" s="35">
        <v>1</v>
      </c>
      <c r="P23" s="35">
        <v>0.3</v>
      </c>
      <c r="Q23" s="35">
        <v>1</v>
      </c>
      <c r="R23" s="35">
        <f t="shared" si="7"/>
        <v>0</v>
      </c>
      <c r="S23" s="35">
        <f t="shared" si="8"/>
        <v>0.18</v>
      </c>
      <c r="T23" s="35">
        <f t="shared" si="9"/>
        <v>0.6</v>
      </c>
      <c r="U23" s="35">
        <f t="shared" si="10"/>
        <v>0.18</v>
      </c>
      <c r="V23" s="35">
        <f t="shared" si="11"/>
        <v>1</v>
      </c>
      <c r="W23" s="36">
        <f t="shared" si="0"/>
        <v>0</v>
      </c>
      <c r="X23" s="36">
        <f t="shared" si="1"/>
        <v>0.18</v>
      </c>
      <c r="Y23" s="36">
        <f t="shared" si="12"/>
        <v>0.6</v>
      </c>
      <c r="Z23" s="36">
        <f t="shared" si="13"/>
        <v>0.18</v>
      </c>
      <c r="AA23" s="36">
        <f t="shared" si="14"/>
        <v>1</v>
      </c>
    </row>
    <row r="24" spans="1:27">
      <c r="A24" s="35"/>
      <c r="B24" s="35"/>
      <c r="C24" s="35"/>
      <c r="D24" s="35" t="s">
        <v>101</v>
      </c>
      <c r="E24" s="35">
        <v>2</v>
      </c>
      <c r="F24" s="36">
        <v>2</v>
      </c>
      <c r="G24" s="38" t="s">
        <v>102</v>
      </c>
      <c r="H24" s="38" t="s">
        <v>103</v>
      </c>
      <c r="I24" s="38" t="s">
        <v>37</v>
      </c>
      <c r="J24" s="35">
        <v>0</v>
      </c>
      <c r="K24" s="35">
        <v>0.6</v>
      </c>
      <c r="L24" s="35">
        <v>1</v>
      </c>
      <c r="M24" s="35">
        <v>0</v>
      </c>
      <c r="N24" s="35">
        <v>0.3</v>
      </c>
      <c r="O24" s="35">
        <v>1</v>
      </c>
      <c r="P24" s="35">
        <v>0.3</v>
      </c>
      <c r="Q24" s="35">
        <v>1</v>
      </c>
      <c r="R24" s="35">
        <f t="shared" si="7"/>
        <v>0</v>
      </c>
      <c r="S24" s="35">
        <f t="shared" si="8"/>
        <v>0.36</v>
      </c>
      <c r="T24" s="35">
        <f t="shared" si="9"/>
        <v>1.2</v>
      </c>
      <c r="U24" s="35">
        <f t="shared" si="10"/>
        <v>0.36</v>
      </c>
      <c r="V24" s="35">
        <f t="shared" si="11"/>
        <v>2</v>
      </c>
      <c r="W24" s="36">
        <f t="shared" si="0"/>
        <v>0</v>
      </c>
      <c r="X24" s="36">
        <f t="shared" si="1"/>
        <v>0.36</v>
      </c>
      <c r="Y24" s="36">
        <f t="shared" si="12"/>
        <v>1.2</v>
      </c>
      <c r="Z24" s="36">
        <f t="shared" si="13"/>
        <v>0.36</v>
      </c>
      <c r="AA24" s="36">
        <f t="shared" si="14"/>
        <v>2</v>
      </c>
    </row>
    <row r="25" spans="1:27">
      <c r="A25" s="35"/>
      <c r="B25" s="35"/>
      <c r="C25" s="35"/>
      <c r="D25" s="35" t="s">
        <v>104</v>
      </c>
      <c r="E25" s="35">
        <v>2</v>
      </c>
      <c r="F25" s="36">
        <v>2</v>
      </c>
      <c r="G25" s="38" t="s">
        <v>105</v>
      </c>
      <c r="H25" s="38" t="s">
        <v>106</v>
      </c>
      <c r="I25" s="38" t="s">
        <v>37</v>
      </c>
      <c r="J25" s="35">
        <v>0</v>
      </c>
      <c r="K25" s="35">
        <v>0.3</v>
      </c>
      <c r="L25" s="35">
        <v>1</v>
      </c>
      <c r="M25" s="35">
        <v>0</v>
      </c>
      <c r="N25" s="35">
        <v>0.3</v>
      </c>
      <c r="O25" s="35">
        <v>1</v>
      </c>
      <c r="P25" s="35">
        <v>0.3</v>
      </c>
      <c r="Q25" s="35">
        <v>1</v>
      </c>
      <c r="R25" s="35">
        <f t="shared" si="7"/>
        <v>0</v>
      </c>
      <c r="S25" s="35">
        <f t="shared" si="8"/>
        <v>0.18</v>
      </c>
      <c r="T25" s="35">
        <f t="shared" si="9"/>
        <v>0.6</v>
      </c>
      <c r="U25" s="35">
        <f t="shared" si="10"/>
        <v>0.18</v>
      </c>
      <c r="V25" s="35">
        <f t="shared" si="11"/>
        <v>2</v>
      </c>
      <c r="W25" s="36">
        <f t="shared" si="0"/>
        <v>0</v>
      </c>
      <c r="X25" s="36">
        <f t="shared" si="1"/>
        <v>0.18</v>
      </c>
      <c r="Y25" s="36">
        <f t="shared" si="12"/>
        <v>0.6</v>
      </c>
      <c r="Z25" s="36">
        <f t="shared" si="13"/>
        <v>0.18</v>
      </c>
      <c r="AA25" s="36">
        <f t="shared" si="14"/>
        <v>2</v>
      </c>
    </row>
    <row r="26" spans="1:27">
      <c r="A26" s="51" t="s">
        <v>107</v>
      </c>
      <c r="B26" s="51" t="s">
        <v>107</v>
      </c>
      <c r="C26" s="51">
        <v>10</v>
      </c>
      <c r="D26" s="51" t="s">
        <v>108</v>
      </c>
      <c r="E26" s="51">
        <v>3</v>
      </c>
      <c r="F26" s="36" t="s">
        <v>111</v>
      </c>
      <c r="G26" s="38" t="s">
        <v>109</v>
      </c>
      <c r="H26" s="38" t="s">
        <v>110</v>
      </c>
      <c r="I26" s="38" t="s">
        <v>34</v>
      </c>
      <c r="J26" s="35">
        <v>1</v>
      </c>
      <c r="K26" s="35">
        <v>1</v>
      </c>
      <c r="L26" s="35">
        <v>0</v>
      </c>
      <c r="M26" s="35">
        <v>1</v>
      </c>
      <c r="N26" s="35">
        <v>0.3</v>
      </c>
      <c r="O26" s="35">
        <v>0.3</v>
      </c>
      <c r="P26" s="35">
        <v>1</v>
      </c>
      <c r="Q26" s="35">
        <v>0</v>
      </c>
      <c r="R26" s="35" t="s">
        <v>111</v>
      </c>
      <c r="S26" s="35" t="s">
        <v>111</v>
      </c>
      <c r="T26" s="35" t="s">
        <v>111</v>
      </c>
      <c r="U26" s="35" t="s">
        <v>111</v>
      </c>
      <c r="V26" s="35" t="s">
        <v>111</v>
      </c>
      <c r="W26" s="36" t="s">
        <v>111</v>
      </c>
      <c r="X26" s="36" t="s">
        <v>111</v>
      </c>
      <c r="Y26" s="36" t="s">
        <v>111</v>
      </c>
      <c r="Z26" s="36" t="s">
        <v>111</v>
      </c>
      <c r="AA26" s="36" t="s">
        <v>111</v>
      </c>
    </row>
    <row r="27" spans="1:27">
      <c r="A27" s="51"/>
      <c r="B27" s="51"/>
      <c r="C27" s="51"/>
      <c r="D27" s="51" t="s">
        <v>112</v>
      </c>
      <c r="E27" s="51">
        <v>7</v>
      </c>
      <c r="F27" s="36">
        <v>7</v>
      </c>
      <c r="G27" s="52" t="s">
        <v>113</v>
      </c>
      <c r="H27" s="38" t="s">
        <v>114</v>
      </c>
      <c r="I27" s="38" t="s">
        <v>37</v>
      </c>
      <c r="J27" s="35">
        <v>0</v>
      </c>
      <c r="K27" s="35">
        <v>0.3</v>
      </c>
      <c r="L27" s="35">
        <v>1</v>
      </c>
      <c r="M27" s="35">
        <v>0</v>
      </c>
      <c r="N27" s="35">
        <v>0.3</v>
      </c>
      <c r="O27" s="35">
        <v>1</v>
      </c>
      <c r="P27" s="35">
        <v>0.3</v>
      </c>
      <c r="Q27" s="35">
        <v>1</v>
      </c>
      <c r="R27" s="35">
        <f t="shared" si="7"/>
        <v>0</v>
      </c>
      <c r="S27" s="35">
        <f t="shared" si="8"/>
        <v>0.63</v>
      </c>
      <c r="T27" s="35">
        <f t="shared" si="9"/>
        <v>2.1</v>
      </c>
      <c r="U27" s="35">
        <f>$E27*K27*P27</f>
        <v>0.63</v>
      </c>
      <c r="V27" s="35">
        <f t="shared" si="11"/>
        <v>7</v>
      </c>
      <c r="W27" s="36">
        <f t="shared" si="0"/>
        <v>0</v>
      </c>
      <c r="X27" s="36">
        <f t="shared" si="1"/>
        <v>0.63</v>
      </c>
      <c r="Y27" s="36">
        <f t="shared" ref="Y27:Y29" si="15">$F27*K27*O27</f>
        <v>2.1</v>
      </c>
      <c r="Z27" s="36">
        <f t="shared" ref="Z27:Z29" si="16">$F27*K27*P27</f>
        <v>0.63</v>
      </c>
      <c r="AA27" s="36">
        <f t="shared" ref="AA27:AA29" si="17">$F27*L27*Q27</f>
        <v>7</v>
      </c>
    </row>
    <row r="28" spans="1:27">
      <c r="A28" s="51" t="s">
        <v>115</v>
      </c>
      <c r="B28" s="51" t="s">
        <v>115</v>
      </c>
      <c r="C28" s="51">
        <v>-3</v>
      </c>
      <c r="D28" s="51" t="s">
        <v>116</v>
      </c>
      <c r="E28" s="51">
        <v>2</v>
      </c>
      <c r="F28" s="36">
        <v>2</v>
      </c>
      <c r="G28" s="52" t="s">
        <v>117</v>
      </c>
      <c r="H28" s="38" t="s">
        <v>118</v>
      </c>
      <c r="I28" s="38" t="s">
        <v>24</v>
      </c>
      <c r="J28" s="35">
        <v>1</v>
      </c>
      <c r="K28" s="35">
        <v>1</v>
      </c>
      <c r="L28" s="35">
        <v>1</v>
      </c>
      <c r="M28" s="35">
        <v>1</v>
      </c>
      <c r="N28" s="35">
        <v>0.6</v>
      </c>
      <c r="O28" s="35">
        <v>0.6</v>
      </c>
      <c r="P28" s="35">
        <v>1</v>
      </c>
      <c r="Q28" s="35">
        <v>1</v>
      </c>
      <c r="R28" s="35">
        <f t="shared" si="7"/>
        <v>2</v>
      </c>
      <c r="S28" s="35">
        <f t="shared" si="8"/>
        <v>1.2</v>
      </c>
      <c r="T28" s="35">
        <f t="shared" si="9"/>
        <v>1.2</v>
      </c>
      <c r="U28" s="35">
        <f t="shared" si="10"/>
        <v>2</v>
      </c>
      <c r="V28" s="35">
        <f t="shared" si="11"/>
        <v>2</v>
      </c>
      <c r="W28" s="36">
        <f t="shared" si="0"/>
        <v>2</v>
      </c>
      <c r="X28" s="36">
        <f t="shared" si="1"/>
        <v>1.2</v>
      </c>
      <c r="Y28" s="36">
        <f t="shared" si="15"/>
        <v>1.2</v>
      </c>
      <c r="Z28" s="36">
        <f t="shared" si="16"/>
        <v>2</v>
      </c>
      <c r="AA28" s="36">
        <f t="shared" si="17"/>
        <v>2</v>
      </c>
    </row>
    <row r="29" spans="1:27">
      <c r="A29" s="51"/>
      <c r="B29" s="51"/>
      <c r="C29" s="51"/>
      <c r="D29" s="51" t="s">
        <v>119</v>
      </c>
      <c r="E29" s="51">
        <v>-5</v>
      </c>
      <c r="F29" s="36">
        <v>-1.2</v>
      </c>
      <c r="G29" s="53" t="s">
        <v>120</v>
      </c>
      <c r="H29" s="38" t="s">
        <v>121</v>
      </c>
      <c r="I29" s="38" t="s">
        <v>24</v>
      </c>
      <c r="J29" s="25">
        <v>1</v>
      </c>
      <c r="K29" s="25">
        <v>1</v>
      </c>
      <c r="L29" s="25">
        <v>1</v>
      </c>
      <c r="M29" s="25">
        <v>1</v>
      </c>
      <c r="N29" s="25">
        <v>1</v>
      </c>
      <c r="O29" s="25">
        <v>1</v>
      </c>
      <c r="P29" s="25">
        <v>1</v>
      </c>
      <c r="Q29" s="25">
        <v>1</v>
      </c>
      <c r="R29" s="35">
        <v>0</v>
      </c>
      <c r="S29" s="35">
        <v>0</v>
      </c>
      <c r="T29" s="35">
        <v>0</v>
      </c>
      <c r="U29" s="35">
        <v>0</v>
      </c>
      <c r="V29" s="35">
        <v>0</v>
      </c>
      <c r="W29" s="36">
        <f t="shared" si="0"/>
        <v>-1.2</v>
      </c>
      <c r="X29" s="36">
        <f t="shared" si="1"/>
        <v>-1.2</v>
      </c>
      <c r="Y29" s="36">
        <f t="shared" si="15"/>
        <v>-1.2</v>
      </c>
      <c r="Z29" s="36">
        <f t="shared" si="16"/>
        <v>-1.2</v>
      </c>
      <c r="AA29" s="36">
        <f t="shared" si="17"/>
        <v>-1.2</v>
      </c>
    </row>
    <row r="30" spans="1:27">
      <c r="A30" s="51" t="s">
        <v>122</v>
      </c>
      <c r="B30" s="51" t="s">
        <v>122</v>
      </c>
      <c r="C30" s="51" t="s">
        <v>123</v>
      </c>
      <c r="D30" s="51" t="s">
        <v>124</v>
      </c>
      <c r="E30" s="51" t="s">
        <v>123</v>
      </c>
      <c r="F30" s="36">
        <v>0</v>
      </c>
      <c r="G30" s="51"/>
      <c r="H30" s="51"/>
      <c r="I30" s="25"/>
      <c r="J30" s="25"/>
      <c r="K30" s="25"/>
      <c r="L30" s="25"/>
      <c r="M30" s="25"/>
      <c r="N30" s="25"/>
      <c r="O30" s="25"/>
      <c r="P30" s="25"/>
      <c r="Q30" s="25"/>
      <c r="R30" s="25">
        <f>SUM(R3:R29)</f>
        <v>58.3</v>
      </c>
      <c r="S30" s="25">
        <f>SUM(S3:S29)</f>
        <v>52.77</v>
      </c>
      <c r="T30" s="25">
        <f t="shared" ref="R30:AA30" si="18">SUM(T3:T29)</f>
        <v>55.85</v>
      </c>
      <c r="U30" s="25">
        <f t="shared" si="18"/>
        <v>56.18</v>
      </c>
      <c r="V30" s="25">
        <f t="shared" si="18"/>
        <v>64.6</v>
      </c>
      <c r="W30" s="2">
        <f t="shared" si="18"/>
        <v>52.01</v>
      </c>
      <c r="X30" s="2">
        <f t="shared" si="18"/>
        <v>49.7485883116883</v>
      </c>
      <c r="Y30" s="2">
        <f t="shared" si="18"/>
        <v>52.2237337662338</v>
      </c>
      <c r="Z30" s="2">
        <f t="shared" si="18"/>
        <v>52.3116883116883</v>
      </c>
      <c r="AA30" s="2">
        <f t="shared" si="18"/>
        <v>58.6798701298701</v>
      </c>
    </row>
    <row r="31" spans="1:27">
      <c r="A31" s="51" t="s">
        <v>125</v>
      </c>
      <c r="B31" s="51"/>
      <c r="C31" s="51">
        <v>100</v>
      </c>
      <c r="D31" s="25"/>
      <c r="E31" s="51">
        <v>100</v>
      </c>
      <c r="F31" s="51"/>
      <c r="G31" s="51"/>
      <c r="H31" s="51"/>
      <c r="I31" s="25"/>
      <c r="J31" s="25"/>
      <c r="K31" s="25"/>
      <c r="L31" s="25"/>
      <c r="M31" s="25"/>
      <c r="N31" s="25"/>
      <c r="O31" s="25"/>
      <c r="P31" s="25"/>
      <c r="Q31" s="25"/>
      <c r="R31" s="25"/>
      <c r="S31" s="25"/>
      <c r="T31" s="25"/>
      <c r="U31" s="25"/>
      <c r="V31" s="25"/>
      <c r="W31" s="2">
        <f>W30/R30*100</f>
        <v>89.2109777015437</v>
      </c>
      <c r="X31" s="2">
        <f>X30/S30*100</f>
        <v>94.2743761828469</v>
      </c>
      <c r="Y31" s="2">
        <f>Y30/T30*100</f>
        <v>93.5071329744561</v>
      </c>
      <c r="Z31" s="2">
        <f>Z30/U30*100</f>
        <v>93.1144327370742</v>
      </c>
      <c r="AA31" s="2">
        <f>AA30/V30*100</f>
        <v>90.8357122753408</v>
      </c>
    </row>
    <row r="32" spans="1:27">
      <c r="X32" s="2">
        <f>AVERAGE(X31:Z31)</f>
        <v>93.6319806314591</v>
      </c>
    </row>
  </sheetData>
  <mergeCells count="41">
    <mergeCell ref="N1:P1"/>
    <mergeCell ref="S1:U1"/>
    <mergeCell ref="X1:Z1"/>
    <mergeCell ref="A31:B31"/>
    <mergeCell ref="A3:A10"/>
    <mergeCell ref="A11:A25"/>
    <mergeCell ref="A26:A27"/>
    <mergeCell ref="A28:A29"/>
    <mergeCell ref="B3:B4"/>
    <mergeCell ref="B5:B7"/>
    <mergeCell ref="B8:B10"/>
    <mergeCell ref="B13:B14"/>
    <mergeCell ref="B15:B18"/>
    <mergeCell ref="B19:B22"/>
    <mergeCell ref="B23:B25"/>
    <mergeCell ref="B26:B27"/>
    <mergeCell ref="B28:B29"/>
    <mergeCell ref="C1:C2"/>
    <mergeCell ref="C3:C4"/>
    <mergeCell ref="C5:C7"/>
    <mergeCell ref="C8:C10"/>
    <mergeCell ref="C13:C14"/>
    <mergeCell ref="C15:C18"/>
    <mergeCell ref="C19:C22"/>
    <mergeCell ref="C23:C25"/>
    <mergeCell ref="C26:C27"/>
    <mergeCell ref="C28:C29"/>
    <mergeCell ref="D1:D2"/>
    <mergeCell ref="D21:D22"/>
    <mergeCell ref="E1:E2"/>
    <mergeCell ref="F1:F2"/>
    <mergeCell ref="G1:G2"/>
    <mergeCell ref="G5:G7"/>
    <mergeCell ref="G21:G22"/>
    <mergeCell ref="H1:H2"/>
    <mergeCell ref="H5:H7"/>
    <mergeCell ref="I1:I2"/>
    <mergeCell ref="J1:J2"/>
    <mergeCell ref="K1:K2"/>
    <mergeCell ref="L1:L2"/>
    <mergeCell ref="A1:B2"/>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2"/>
  <sheetViews>
    <sheetView topLeftCell="B1" workbookViewId="0">
      <selection activeCell="M27" sqref="M27"/>
    </sheetView>
  </sheetViews>
  <sheetFormatPr defaultColWidth="9" defaultRowHeight="15.6"/>
  <cols>
    <col min="4" max="4" width="28.3787878787879" customWidth="1"/>
    <col min="5" max="5" width="9.87878787878788" customWidth="1"/>
    <col min="6" max="6" width="17" customWidth="1"/>
    <col min="7" max="7" width="19.25" customWidth="1"/>
    <col min="8" max="8" width="25.3787878787879" customWidth="1"/>
    <col min="15" max="20" width="6.37878787878788" customWidth="1"/>
  </cols>
  <sheetData>
    <row r="1" spans="1:20">
      <c r="A1" s="4" t="s">
        <v>0</v>
      </c>
      <c r="B1" s="4"/>
      <c r="C1" s="4" t="s">
        <v>1</v>
      </c>
      <c r="D1" s="4" t="s">
        <v>2</v>
      </c>
      <c r="E1" s="4" t="s">
        <v>139</v>
      </c>
      <c r="F1" s="4" t="s">
        <v>140</v>
      </c>
      <c r="G1" s="4" t="s">
        <v>4</v>
      </c>
      <c r="H1" s="4" t="s">
        <v>5</v>
      </c>
      <c r="I1" s="5" t="s">
        <v>9</v>
      </c>
      <c r="J1" s="5" t="s">
        <v>10</v>
      </c>
      <c r="K1" s="5" t="s">
        <v>11</v>
      </c>
      <c r="L1" s="5" t="s">
        <v>12</v>
      </c>
      <c r="M1" s="5" t="s">
        <v>13</v>
      </c>
      <c r="N1" s="5" t="s">
        <v>14</v>
      </c>
      <c r="O1" s="6" t="s">
        <v>9</v>
      </c>
      <c r="P1" s="6" t="s">
        <v>10</v>
      </c>
      <c r="Q1" s="6" t="s">
        <v>11</v>
      </c>
      <c r="R1" s="6" t="s">
        <v>12</v>
      </c>
      <c r="S1" s="6" t="s">
        <v>13</v>
      </c>
      <c r="T1" s="6" t="s">
        <v>14</v>
      </c>
    </row>
    <row r="2" spans="1:20">
      <c r="A2" s="7" t="s">
        <v>19</v>
      </c>
      <c r="B2" s="8" t="s">
        <v>20</v>
      </c>
      <c r="C2" s="8">
        <v>12</v>
      </c>
      <c r="D2" s="7" t="s">
        <v>21</v>
      </c>
      <c r="E2" s="7">
        <v>10</v>
      </c>
      <c r="F2" s="7">
        <v>10</v>
      </c>
      <c r="G2" s="7" t="s">
        <v>22</v>
      </c>
      <c r="H2" s="7" t="s">
        <v>23</v>
      </c>
      <c r="I2" s="10">
        <f>VLOOKUP(D2,'6月'!D:K,8,0)</f>
        <v>9.1</v>
      </c>
      <c r="J2" s="10">
        <f>VLOOKUP(D2,'6月'!D:L,9,0)</f>
        <v>9.1</v>
      </c>
      <c r="K2" s="10">
        <f>VLOOKUP(D2,'6月'!D:M,10,0)</f>
        <v>9</v>
      </c>
      <c r="L2" s="10">
        <f>VLOOKUP(D2,'6月'!D:N,11,0)</f>
        <v>8.7</v>
      </c>
      <c r="M2" s="10">
        <f>VLOOKUP(D2,'6月'!D:O,12,0)</f>
        <v>9.3</v>
      </c>
      <c r="N2" s="10">
        <f>VLOOKUP(D2,'6月'!D:P,13,0)</f>
        <v>9.1</v>
      </c>
      <c r="O2" s="21">
        <f t="shared" ref="O2:T2" si="0">I2/$E2*$F2</f>
        <v>9.1</v>
      </c>
      <c r="P2" s="21">
        <f t="shared" si="0"/>
        <v>9.1</v>
      </c>
      <c r="Q2" s="21">
        <f t="shared" si="0"/>
        <v>9</v>
      </c>
      <c r="R2" s="21">
        <f t="shared" si="0"/>
        <v>8.7</v>
      </c>
      <c r="S2" s="21">
        <f t="shared" si="0"/>
        <v>9.3</v>
      </c>
      <c r="T2" s="21">
        <f t="shared" si="0"/>
        <v>9.1</v>
      </c>
    </row>
    <row r="3" spans="1:20">
      <c r="A3" s="7"/>
      <c r="B3" s="11"/>
      <c r="C3" s="11"/>
      <c r="D3" s="7" t="s">
        <v>26</v>
      </c>
      <c r="E3" s="7">
        <v>2</v>
      </c>
      <c r="F3" s="7">
        <v>2</v>
      </c>
      <c r="G3" s="7" t="s">
        <v>27</v>
      </c>
      <c r="H3" s="7" t="s">
        <v>28</v>
      </c>
      <c r="I3" s="10">
        <f>VLOOKUP(D3,'6月'!D:K,8,0)</f>
        <v>2</v>
      </c>
      <c r="J3" s="10">
        <f>VLOOKUP(D3,'6月'!D:L,9,0)</f>
        <v>2</v>
      </c>
      <c r="K3" s="10">
        <f>VLOOKUP(D3,'6月'!D:M,10,0)</f>
        <v>2</v>
      </c>
      <c r="L3" s="10">
        <f>VLOOKUP(D3,'6月'!D:N,11,0)</f>
        <v>2</v>
      </c>
      <c r="M3" s="10">
        <f>VLOOKUP(D3,'6月'!D:O,12,0)</f>
        <v>2</v>
      </c>
      <c r="N3" s="10">
        <f>VLOOKUP(D3,'6月'!D:P,13,0)</f>
        <v>2</v>
      </c>
      <c r="O3" s="22">
        <f t="shared" ref="O3:X3" si="1">I3/$E3*$F3</f>
        <v>2</v>
      </c>
      <c r="P3" s="22">
        <f t="shared" si="1"/>
        <v>2</v>
      </c>
      <c r="Q3" s="22">
        <f t="shared" si="1"/>
        <v>2</v>
      </c>
      <c r="R3" s="22">
        <f t="shared" si="1"/>
        <v>2</v>
      </c>
      <c r="S3" s="22">
        <f t="shared" si="1"/>
        <v>2</v>
      </c>
      <c r="T3" s="22">
        <f t="shared" si="1"/>
        <v>2</v>
      </c>
    </row>
    <row r="4" spans="1:20">
      <c r="A4" s="7"/>
      <c r="B4" s="7" t="s">
        <v>30</v>
      </c>
      <c r="C4" s="7">
        <v>13</v>
      </c>
      <c r="D4" s="7" t="s">
        <v>31</v>
      </c>
      <c r="E4" s="7">
        <v>5</v>
      </c>
      <c r="F4" s="7">
        <v>5</v>
      </c>
      <c r="G4" s="7" t="s">
        <v>141</v>
      </c>
      <c r="H4" s="8" t="s">
        <v>142</v>
      </c>
      <c r="I4" s="10">
        <f>VLOOKUP(D4,'6月'!D:K,8,0)</f>
        <v>2.5</v>
      </c>
      <c r="J4" s="10">
        <f>VLOOKUP(D4,'6月'!D:L,9,0)</f>
        <v>2.5</v>
      </c>
      <c r="K4" s="10">
        <f>VLOOKUP(D4,'6月'!D:M,10,0)</f>
        <v>2.5</v>
      </c>
      <c r="L4" s="10">
        <f>VLOOKUP(D4,'6月'!D:N,11,0)</f>
        <v>2.5</v>
      </c>
      <c r="M4" s="10">
        <f>VLOOKUP(D4,'6月'!D:O,12,0)</f>
        <v>2.5</v>
      </c>
      <c r="N4" s="10">
        <f>VLOOKUP(D4,'6月'!D:P,13,0)</f>
        <v>2.5</v>
      </c>
      <c r="O4" s="22">
        <f t="shared" ref="O4:T4" si="2">I4/$E4*$F4</f>
        <v>2.5</v>
      </c>
      <c r="P4" s="22">
        <f t="shared" si="2"/>
        <v>2.5</v>
      </c>
      <c r="Q4" s="22">
        <f t="shared" si="2"/>
        <v>2.5</v>
      </c>
      <c r="R4" s="22">
        <f t="shared" si="2"/>
        <v>2.5</v>
      </c>
      <c r="S4" s="22">
        <f t="shared" si="2"/>
        <v>2.5</v>
      </c>
      <c r="T4" s="22">
        <f t="shared" si="2"/>
        <v>2.5</v>
      </c>
    </row>
    <row r="5" spans="1:20">
      <c r="A5" s="7"/>
      <c r="B5" s="7"/>
      <c r="C5" s="7"/>
      <c r="D5" s="7" t="s">
        <v>36</v>
      </c>
      <c r="E5" s="7">
        <v>5</v>
      </c>
      <c r="F5" s="7">
        <v>5</v>
      </c>
      <c r="G5" s="7"/>
      <c r="H5" s="11"/>
      <c r="I5" s="10">
        <f>VLOOKUP(D5,'6月'!D:K,8,0)</f>
        <v>3.9</v>
      </c>
      <c r="J5" s="10">
        <f>VLOOKUP(D5,'6月'!D:L,9,0)</f>
        <v>2.725</v>
      </c>
      <c r="K5" s="10">
        <f>VLOOKUP(D5,'6月'!D:M,10,0)</f>
        <v>1.75</v>
      </c>
      <c r="L5" s="10">
        <f>VLOOKUP(D5,'6月'!D:N,11,0)</f>
        <v>5</v>
      </c>
      <c r="M5" s="10">
        <f>VLOOKUP(D5,'6月'!D:O,12,0)</f>
        <v>3.57</v>
      </c>
      <c r="N5" s="10">
        <f>VLOOKUP(D5,'6月'!D:P,13,0)</f>
        <v>2.725</v>
      </c>
      <c r="O5" s="22">
        <f t="shared" ref="O5:T5" si="3">I5/$E5*$F5</f>
        <v>3.9</v>
      </c>
      <c r="P5" s="22">
        <f t="shared" si="3"/>
        <v>2.725</v>
      </c>
      <c r="Q5" s="22">
        <f t="shared" si="3"/>
        <v>1.75</v>
      </c>
      <c r="R5" s="22">
        <f t="shared" si="3"/>
        <v>5</v>
      </c>
      <c r="S5" s="22">
        <f t="shared" si="3"/>
        <v>3.57</v>
      </c>
      <c r="T5" s="22">
        <f t="shared" si="3"/>
        <v>2.725</v>
      </c>
    </row>
    <row r="6" spans="1:20">
      <c r="A6" s="7"/>
      <c r="B6" s="7"/>
      <c r="C6" s="7"/>
      <c r="D6" s="7" t="s">
        <v>39</v>
      </c>
      <c r="E6" s="7">
        <v>4</v>
      </c>
      <c r="F6" s="7">
        <v>4</v>
      </c>
      <c r="G6" s="7"/>
      <c r="H6" s="12"/>
      <c r="I6" s="10">
        <f>VLOOKUP(D6,'6月'!D:K,8,0)</f>
        <v>3.12</v>
      </c>
      <c r="J6" s="10">
        <f>VLOOKUP(D6,'6月'!D:L,9,0)</f>
        <v>1.4</v>
      </c>
      <c r="K6" s="10">
        <f>VLOOKUP(D6,'6月'!D:M,10,0)</f>
        <v>1.4</v>
      </c>
      <c r="L6" s="10">
        <f>VLOOKUP(D6,'6月'!D:N,11,0)</f>
        <v>4</v>
      </c>
      <c r="M6" s="10">
        <f>VLOOKUP(D6,'6月'!D:O,12,0)</f>
        <v>3.12</v>
      </c>
      <c r="N6" s="10">
        <f>VLOOKUP(D6,'6月'!D:P,13,0)</f>
        <v>1.4</v>
      </c>
      <c r="O6" s="22">
        <f t="shared" ref="O6:T6" si="4">I6/$E6*$F6</f>
        <v>3.12</v>
      </c>
      <c r="P6" s="22">
        <f t="shared" si="4"/>
        <v>1.4</v>
      </c>
      <c r="Q6" s="22">
        <f t="shared" si="4"/>
        <v>1.4</v>
      </c>
      <c r="R6" s="22">
        <f t="shared" si="4"/>
        <v>4</v>
      </c>
      <c r="S6" s="22">
        <f t="shared" si="4"/>
        <v>3.12</v>
      </c>
      <c r="T6" s="22">
        <f t="shared" si="4"/>
        <v>1.4</v>
      </c>
    </row>
    <row r="7" spans="1:20">
      <c r="A7" s="7"/>
      <c r="B7" s="7" t="s">
        <v>40</v>
      </c>
      <c r="C7" s="7">
        <v>13</v>
      </c>
      <c r="D7" s="7" t="s">
        <v>41</v>
      </c>
      <c r="E7" s="7">
        <v>9</v>
      </c>
      <c r="F7" s="7">
        <v>2</v>
      </c>
      <c r="G7" s="7" t="s">
        <v>42</v>
      </c>
      <c r="H7" s="7" t="s">
        <v>43</v>
      </c>
      <c r="I7" s="10">
        <f>VLOOKUP(D7,'6月'!D:K,8,0)</f>
        <v>9</v>
      </c>
      <c r="J7" s="10">
        <f>VLOOKUP(D7,'6月'!D:L,9,0)</f>
        <v>9</v>
      </c>
      <c r="K7" s="10">
        <f>VLOOKUP(D7,'6月'!D:M,10,0)</f>
        <v>9</v>
      </c>
      <c r="L7" s="10">
        <f>VLOOKUP(D7,'6月'!D:N,11,0)</f>
        <v>9</v>
      </c>
      <c r="M7" s="10">
        <f>VLOOKUP(D7,'6月'!D:O,12,0)</f>
        <v>9</v>
      </c>
      <c r="N7" s="10">
        <f>VLOOKUP(D7,'6月'!D:P,13,0)</f>
        <v>9</v>
      </c>
      <c r="O7" s="22">
        <f t="shared" ref="O7:O11" si="5">I7/$E7*$F7</f>
        <v>2</v>
      </c>
      <c r="P7" s="22">
        <f t="shared" ref="P7:P11" si="6">J7/$E7*$F7</f>
        <v>2</v>
      </c>
      <c r="Q7" s="22">
        <f t="shared" ref="Q7:Q11" si="7">K7/$E7*$F7</f>
        <v>2</v>
      </c>
      <c r="R7" s="22">
        <f t="shared" ref="R7:R11" si="8">L7/$E7*$F7</f>
        <v>2</v>
      </c>
      <c r="S7" s="22">
        <f t="shared" ref="S7:S11" si="9">M7/$E7*$F7</f>
        <v>2</v>
      </c>
      <c r="T7" s="22">
        <f t="shared" ref="T7:T11" si="10">N7/$E7*$F7</f>
        <v>2</v>
      </c>
    </row>
    <row r="8" spans="1:20">
      <c r="A8" s="7"/>
      <c r="B8" s="7"/>
      <c r="C8" s="7"/>
      <c r="D8" s="7" t="s">
        <v>136</v>
      </c>
      <c r="E8" s="7">
        <v>2</v>
      </c>
      <c r="F8" s="7">
        <v>3</v>
      </c>
      <c r="G8" s="7" t="s">
        <v>46</v>
      </c>
      <c r="H8" s="7" t="s">
        <v>143</v>
      </c>
      <c r="I8" s="10">
        <f>VLOOKUP(D8,'6月'!D:K,8,0)</f>
        <v>3</v>
      </c>
      <c r="J8" s="10">
        <f>VLOOKUP(D8,'6月'!D:L,9,0)</f>
        <v>3</v>
      </c>
      <c r="K8" s="10">
        <f>VLOOKUP(D8,'6月'!D:M,10,0)</f>
        <v>3</v>
      </c>
      <c r="L8" s="10">
        <f>VLOOKUP(D8,'6月'!D:N,11,0)</f>
        <v>3</v>
      </c>
      <c r="M8" s="10">
        <f>VLOOKUP(D8,'6月'!D:O,12,0)</f>
        <v>3</v>
      </c>
      <c r="N8" s="10">
        <f>VLOOKUP(D8,'6月'!D:P,13,0)</f>
        <v>3</v>
      </c>
      <c r="O8" s="22">
        <f t="shared" si="5"/>
        <v>4.5</v>
      </c>
      <c r="P8" s="22">
        <f t="shared" si="6"/>
        <v>4.5</v>
      </c>
      <c r="Q8" s="22">
        <f t="shared" si="7"/>
        <v>4.5</v>
      </c>
      <c r="R8" s="22">
        <f t="shared" si="8"/>
        <v>4.5</v>
      </c>
      <c r="S8" s="22">
        <f t="shared" si="9"/>
        <v>4.5</v>
      </c>
      <c r="T8" s="22">
        <f t="shared" si="10"/>
        <v>4.5</v>
      </c>
    </row>
    <row r="9" spans="1:20">
      <c r="A9" s="7"/>
      <c r="B9" s="7"/>
      <c r="C9" s="7"/>
      <c r="D9" s="7" t="s">
        <v>49</v>
      </c>
      <c r="E9" s="7">
        <v>5</v>
      </c>
      <c r="F9" s="7">
        <v>5</v>
      </c>
      <c r="G9" s="7" t="s">
        <v>50</v>
      </c>
      <c r="H9" s="7" t="s">
        <v>144</v>
      </c>
      <c r="I9" s="10">
        <f>VLOOKUP(D9,'6月'!D:K,8,0)</f>
        <v>5</v>
      </c>
      <c r="J9" s="10">
        <f>VLOOKUP(D9,'6月'!D:L,9,0)</f>
        <v>5</v>
      </c>
      <c r="K9" s="10">
        <f>VLOOKUP(D9,'6月'!D:M,10,0)</f>
        <v>5</v>
      </c>
      <c r="L9" s="10">
        <f>VLOOKUP(D9,'6月'!D:N,11,0)</f>
        <v>5</v>
      </c>
      <c r="M9" s="10">
        <f>VLOOKUP(D9,'6月'!D:O,12,0)</f>
        <v>5</v>
      </c>
      <c r="N9" s="10">
        <f>VLOOKUP(D9,'6月'!D:P,13,0)</f>
        <v>5</v>
      </c>
      <c r="O9" s="22">
        <f t="shared" si="5"/>
        <v>5</v>
      </c>
      <c r="P9" s="22">
        <f t="shared" si="6"/>
        <v>5</v>
      </c>
      <c r="Q9" s="22">
        <f t="shared" si="7"/>
        <v>5</v>
      </c>
      <c r="R9" s="22">
        <f t="shared" si="8"/>
        <v>5</v>
      </c>
      <c r="S9" s="22">
        <f t="shared" si="9"/>
        <v>5</v>
      </c>
      <c r="T9" s="22">
        <f t="shared" si="10"/>
        <v>5</v>
      </c>
    </row>
    <row r="10" spans="1:20">
      <c r="A10" s="7" t="s">
        <v>145</v>
      </c>
      <c r="B10" s="7" t="s">
        <v>53</v>
      </c>
      <c r="C10" s="7">
        <v>10</v>
      </c>
      <c r="D10" s="7" t="s">
        <v>54</v>
      </c>
      <c r="E10" s="7">
        <v>10</v>
      </c>
      <c r="F10" s="7">
        <v>10</v>
      </c>
      <c r="G10" s="7" t="s">
        <v>55</v>
      </c>
      <c r="H10" s="7" t="s">
        <v>56</v>
      </c>
      <c r="I10" s="10">
        <f>VLOOKUP(D10,'6月'!D:K,8,0)</f>
        <v>10</v>
      </c>
      <c r="J10" s="10">
        <f>VLOOKUP(D10,'6月'!D:L,9,0)</f>
        <v>10</v>
      </c>
      <c r="K10" s="10">
        <f>VLOOKUP(D10,'6月'!D:M,10,0)</f>
        <v>10</v>
      </c>
      <c r="L10" s="10">
        <f>VLOOKUP(D10,'6月'!D:N,11,0)</f>
        <v>10</v>
      </c>
      <c r="M10" s="10">
        <f>VLOOKUP(D10,'6月'!D:O,12,0)</f>
        <v>10</v>
      </c>
      <c r="N10" s="10">
        <f>VLOOKUP(D10,'6月'!D:P,13,0)</f>
        <v>10</v>
      </c>
      <c r="O10" s="22">
        <f t="shared" si="5"/>
        <v>10</v>
      </c>
      <c r="P10" s="22">
        <f t="shared" si="6"/>
        <v>10</v>
      </c>
      <c r="Q10" s="22">
        <f t="shared" si="7"/>
        <v>10</v>
      </c>
      <c r="R10" s="22">
        <f t="shared" si="8"/>
        <v>10</v>
      </c>
      <c r="S10" s="22">
        <f t="shared" si="9"/>
        <v>10</v>
      </c>
      <c r="T10" s="22">
        <f t="shared" si="10"/>
        <v>10</v>
      </c>
    </row>
    <row r="11" spans="1:20">
      <c r="A11" s="7"/>
      <c r="B11" s="7" t="s">
        <v>58</v>
      </c>
      <c r="C11" s="7">
        <v>10</v>
      </c>
      <c r="D11" s="7" t="s">
        <v>59</v>
      </c>
      <c r="E11" s="7">
        <v>10</v>
      </c>
      <c r="F11" s="7">
        <v>4</v>
      </c>
      <c r="G11" s="7" t="s">
        <v>60</v>
      </c>
      <c r="H11" s="7" t="s">
        <v>61</v>
      </c>
      <c r="I11" s="10">
        <f>VLOOKUP(D11,'6月'!D:K,8,0)</f>
        <v>10</v>
      </c>
      <c r="J11" s="10">
        <f>VLOOKUP(D11,'6月'!D:L,9,0)</f>
        <v>10</v>
      </c>
      <c r="K11" s="10">
        <f>VLOOKUP(D11,'6月'!D:M,10,0)</f>
        <v>10</v>
      </c>
      <c r="L11" s="10">
        <f>VLOOKUP(D11,'6月'!D:N,11,0)</f>
        <v>10</v>
      </c>
      <c r="M11" s="10">
        <f>VLOOKUP(D11,'6月'!D:O,12,0)</f>
        <v>10</v>
      </c>
      <c r="N11" s="10">
        <f>VLOOKUP(D11,'6月'!D:P,13,0)</f>
        <v>10</v>
      </c>
      <c r="O11" s="22">
        <f t="shared" si="5"/>
        <v>4</v>
      </c>
      <c r="P11" s="22">
        <f t="shared" si="6"/>
        <v>4</v>
      </c>
      <c r="Q11" s="22">
        <f t="shared" si="7"/>
        <v>4</v>
      </c>
      <c r="R11" s="22">
        <f t="shared" si="8"/>
        <v>4</v>
      </c>
      <c r="S11" s="22">
        <f t="shared" si="9"/>
        <v>4</v>
      </c>
      <c r="T11" s="22">
        <f t="shared" si="10"/>
        <v>4</v>
      </c>
    </row>
    <row r="12" spans="1:20">
      <c r="A12" s="7"/>
      <c r="B12" s="7" t="s">
        <v>63</v>
      </c>
      <c r="C12" s="7">
        <v>6</v>
      </c>
      <c r="D12" s="13" t="s">
        <v>64</v>
      </c>
      <c r="E12" s="13">
        <v>2</v>
      </c>
      <c r="F12" s="13">
        <v>2</v>
      </c>
      <c r="G12" s="13" t="s">
        <v>65</v>
      </c>
      <c r="H12" s="13" t="s">
        <v>146</v>
      </c>
      <c r="I12" s="10">
        <f>VLOOKUP(D12,'6月'!D:K,8,0)</f>
        <v>2</v>
      </c>
      <c r="J12" s="10">
        <f>VLOOKUP(D12,'6月'!D:L,9,0)</f>
        <v>2</v>
      </c>
      <c r="K12" s="10">
        <f>VLOOKUP(D12,'6月'!D:M,10,0)</f>
        <v>2</v>
      </c>
      <c r="L12" s="10">
        <f>VLOOKUP(D12,'6月'!D:N,11,0)</f>
        <v>2</v>
      </c>
      <c r="M12" s="10">
        <f>VLOOKUP(D12,'6月'!D:O,12,0)</f>
        <v>2</v>
      </c>
      <c r="N12" s="10">
        <f>VLOOKUP(D12,'6月'!D:P,13,0)</f>
        <v>2</v>
      </c>
      <c r="O12" s="22">
        <f t="shared" ref="O12:O24" si="11">I12/$E12*$F12</f>
        <v>2</v>
      </c>
      <c r="P12" s="22">
        <f t="shared" ref="P12:P24" si="12">J12/$E12*$F12</f>
        <v>2</v>
      </c>
      <c r="Q12" s="22">
        <f t="shared" ref="Q12:Q24" si="13">K12/$E12*$F12</f>
        <v>2</v>
      </c>
      <c r="R12" s="22">
        <f t="shared" ref="R12:R24" si="14">L12/$E12*$F12</f>
        <v>2</v>
      </c>
      <c r="S12" s="22">
        <f t="shared" ref="S12:S24" si="15">M12/$E12*$F12</f>
        <v>2</v>
      </c>
      <c r="T12" s="22">
        <f t="shared" ref="T12:T24" si="16">N12/$E12*$F12</f>
        <v>2</v>
      </c>
    </row>
    <row r="13" spans="1:20">
      <c r="A13" s="7"/>
      <c r="B13" s="7"/>
      <c r="C13" s="7"/>
      <c r="D13" s="7" t="s">
        <v>68</v>
      </c>
      <c r="E13" s="7">
        <v>4</v>
      </c>
      <c r="F13" s="7">
        <v>4</v>
      </c>
      <c r="G13" s="7" t="s">
        <v>69</v>
      </c>
      <c r="H13" s="7" t="s">
        <v>70</v>
      </c>
      <c r="I13" s="10">
        <f>VLOOKUP(D13,'6月'!D:K,8,0)</f>
        <v>4</v>
      </c>
      <c r="J13" s="10">
        <f>VLOOKUP(D13,'6月'!D:L,9,0)</f>
        <v>4</v>
      </c>
      <c r="K13" s="10">
        <f>VLOOKUP(D13,'6月'!D:M,10,0)</f>
        <v>4</v>
      </c>
      <c r="L13" s="10">
        <f>VLOOKUP(D13,'6月'!D:N,11,0)</f>
        <v>4</v>
      </c>
      <c r="M13" s="10">
        <f>VLOOKUP(D13,'6月'!D:O,12,0)</f>
        <v>4</v>
      </c>
      <c r="N13" s="10">
        <f>VLOOKUP(D13,'6月'!D:P,13,0)</f>
        <v>4</v>
      </c>
      <c r="O13" s="22">
        <f t="shared" si="11"/>
        <v>4</v>
      </c>
      <c r="P13" s="22">
        <f t="shared" si="12"/>
        <v>4</v>
      </c>
      <c r="Q13" s="22">
        <f t="shared" si="13"/>
        <v>4</v>
      </c>
      <c r="R13" s="22">
        <f t="shared" si="14"/>
        <v>4</v>
      </c>
      <c r="S13" s="22">
        <f t="shared" si="15"/>
        <v>4</v>
      </c>
      <c r="T13" s="22">
        <f t="shared" si="16"/>
        <v>4</v>
      </c>
    </row>
    <row r="14" spans="1:20">
      <c r="A14" s="7"/>
      <c r="B14" s="7" t="s">
        <v>71</v>
      </c>
      <c r="C14" s="7">
        <v>11</v>
      </c>
      <c r="D14" s="7" t="s">
        <v>72</v>
      </c>
      <c r="E14" s="7">
        <v>3</v>
      </c>
      <c r="F14" s="7">
        <v>3</v>
      </c>
      <c r="G14" s="7" t="s">
        <v>73</v>
      </c>
      <c r="H14" s="7" t="s">
        <v>74</v>
      </c>
      <c r="I14" s="10">
        <f>VLOOKUP(D14,'6月'!D:K,8,0)</f>
        <v>1.88</v>
      </c>
      <c r="J14" s="10">
        <f>VLOOKUP(D14,'6月'!D:L,9,0)</f>
        <v>2.86</v>
      </c>
      <c r="K14" s="10">
        <f>VLOOKUP(D14,'6月'!D:M,10,0)</f>
        <v>2.8</v>
      </c>
      <c r="L14" s="10">
        <f>VLOOKUP(D14,'6月'!D:N,11,0)</f>
        <v>2.91</v>
      </c>
      <c r="M14" s="10">
        <f>VLOOKUP(D14,'6月'!D:O,12,0)</f>
        <v>2.16</v>
      </c>
      <c r="N14" s="10">
        <f>VLOOKUP(D14,'6月'!D:P,13,0)</f>
        <v>3</v>
      </c>
      <c r="O14" s="22">
        <f t="shared" si="11"/>
        <v>1.88</v>
      </c>
      <c r="P14" s="22">
        <f t="shared" si="12"/>
        <v>2.86</v>
      </c>
      <c r="Q14" s="22">
        <f t="shared" si="13"/>
        <v>2.8</v>
      </c>
      <c r="R14" s="22">
        <f t="shared" si="14"/>
        <v>2.91</v>
      </c>
      <c r="S14" s="22">
        <f t="shared" si="15"/>
        <v>2.16</v>
      </c>
      <c r="T14" s="22">
        <f t="shared" si="16"/>
        <v>3</v>
      </c>
    </row>
    <row r="15" spans="1:20">
      <c r="A15" s="7"/>
      <c r="B15" s="7"/>
      <c r="C15" s="7"/>
      <c r="D15" s="7" t="s">
        <v>76</v>
      </c>
      <c r="E15" s="7">
        <v>3</v>
      </c>
      <c r="F15" s="7">
        <v>3</v>
      </c>
      <c r="G15" s="7" t="s">
        <v>77</v>
      </c>
      <c r="H15" s="7" t="s">
        <v>78</v>
      </c>
      <c r="I15" s="10">
        <f>VLOOKUP(D15,'6月'!D:K,8,0)</f>
        <v>3</v>
      </c>
      <c r="J15" s="10">
        <f>VLOOKUP(D15,'6月'!D:L,9,0)</f>
        <v>3</v>
      </c>
      <c r="K15" s="10">
        <f>VLOOKUP(D15,'6月'!D:M,10,0)</f>
        <v>3</v>
      </c>
      <c r="L15" s="10">
        <f>VLOOKUP(D15,'6月'!D:N,11,0)</f>
        <v>3</v>
      </c>
      <c r="M15" s="10">
        <f>VLOOKUP(D15,'6月'!D:O,12,0)</f>
        <v>0</v>
      </c>
      <c r="N15" s="10">
        <f>VLOOKUP(D15,'6月'!D:P,13,0)</f>
        <v>3</v>
      </c>
      <c r="O15" s="22">
        <f t="shared" si="11"/>
        <v>3</v>
      </c>
      <c r="P15" s="22">
        <f t="shared" si="12"/>
        <v>3</v>
      </c>
      <c r="Q15" s="22">
        <f t="shared" si="13"/>
        <v>3</v>
      </c>
      <c r="R15" s="22">
        <f t="shared" si="14"/>
        <v>3</v>
      </c>
      <c r="S15" s="22">
        <f t="shared" si="15"/>
        <v>0</v>
      </c>
      <c r="T15" s="22">
        <f t="shared" si="16"/>
        <v>3</v>
      </c>
    </row>
    <row r="16" spans="1:20">
      <c r="A16" s="7"/>
      <c r="B16" s="7"/>
      <c r="C16" s="7"/>
      <c r="D16" s="7" t="s">
        <v>79</v>
      </c>
      <c r="E16" s="7">
        <v>4</v>
      </c>
      <c r="F16" s="7">
        <v>2</v>
      </c>
      <c r="G16" s="7" t="s">
        <v>147</v>
      </c>
      <c r="H16" s="7" t="s">
        <v>81</v>
      </c>
      <c r="I16" s="10">
        <f>VLOOKUP(D16,'6月'!D:K,8,0)</f>
        <v>0.92</v>
      </c>
      <c r="J16" s="10">
        <f>VLOOKUP(D16,'6月'!D:L,9,0)</f>
        <v>2.69</v>
      </c>
      <c r="K16" s="10">
        <f>VLOOKUP(D16,'6月'!D:M,10,0)</f>
        <v>0.96</v>
      </c>
      <c r="L16" s="10">
        <f>VLOOKUP(D16,'6月'!D:N,11,0)</f>
        <v>2.66</v>
      </c>
      <c r="M16" s="10">
        <f>VLOOKUP(D16,'6月'!D:O,12,0)</f>
        <v>2.16</v>
      </c>
      <c r="N16" s="10">
        <f>VLOOKUP(D16,'6月'!D:P,13,0)</f>
        <v>2.5</v>
      </c>
      <c r="O16" s="22">
        <f t="shared" si="11"/>
        <v>0.46</v>
      </c>
      <c r="P16" s="22">
        <f t="shared" si="12"/>
        <v>1.345</v>
      </c>
      <c r="Q16" s="22">
        <f t="shared" si="13"/>
        <v>0.48</v>
      </c>
      <c r="R16" s="22">
        <f t="shared" si="14"/>
        <v>1.33</v>
      </c>
      <c r="S16" s="22">
        <f t="shared" si="15"/>
        <v>1.08</v>
      </c>
      <c r="T16" s="22">
        <f t="shared" si="16"/>
        <v>1.25</v>
      </c>
    </row>
    <row r="17" spans="1:20">
      <c r="A17" s="7"/>
      <c r="B17" s="7"/>
      <c r="C17" s="7"/>
      <c r="D17" s="7" t="s">
        <v>82</v>
      </c>
      <c r="E17" s="7">
        <v>1</v>
      </c>
      <c r="F17" s="7">
        <v>1</v>
      </c>
      <c r="G17" s="7" t="s">
        <v>83</v>
      </c>
      <c r="H17" s="7" t="s">
        <v>84</v>
      </c>
      <c r="I17" s="10">
        <f>VLOOKUP(D17,'6月'!D:K,8,0)</f>
        <v>0.8</v>
      </c>
      <c r="J17" s="10">
        <f>VLOOKUP(D17,'6月'!D:L,9,0)</f>
        <v>1</v>
      </c>
      <c r="K17" s="10">
        <f>VLOOKUP(D17,'6月'!D:M,10,0)</f>
        <v>1</v>
      </c>
      <c r="L17" s="10">
        <f>VLOOKUP(D17,'6月'!D:N,11,0)</f>
        <v>1</v>
      </c>
      <c r="M17" s="10">
        <f>VLOOKUP(D17,'6月'!D:O,12,0)</f>
        <v>1</v>
      </c>
      <c r="N17" s="10">
        <f>VLOOKUP(D17,'6月'!D:P,13,0)</f>
        <v>1</v>
      </c>
      <c r="O17" s="22">
        <f t="shared" si="11"/>
        <v>0.8</v>
      </c>
      <c r="P17" s="22">
        <f t="shared" si="12"/>
        <v>1</v>
      </c>
      <c r="Q17" s="22">
        <f t="shared" si="13"/>
        <v>1</v>
      </c>
      <c r="R17" s="22">
        <f t="shared" si="14"/>
        <v>1</v>
      </c>
      <c r="S17" s="22">
        <f t="shared" si="15"/>
        <v>1</v>
      </c>
      <c r="T17" s="22">
        <f t="shared" si="16"/>
        <v>1</v>
      </c>
    </row>
    <row r="18" spans="1:20">
      <c r="A18" s="7"/>
      <c r="B18" s="7" t="s">
        <v>85</v>
      </c>
      <c r="C18" s="7">
        <v>13</v>
      </c>
      <c r="D18" s="7" t="s">
        <v>86</v>
      </c>
      <c r="E18" s="7">
        <v>4</v>
      </c>
      <c r="F18" s="7">
        <v>4</v>
      </c>
      <c r="G18" s="7" t="s">
        <v>87</v>
      </c>
      <c r="H18" s="7" t="s">
        <v>88</v>
      </c>
      <c r="I18" s="10">
        <f>VLOOKUP(D18,'6月'!D:K,8,0)</f>
        <v>3.19480519480521</v>
      </c>
      <c r="J18" s="10">
        <f>VLOOKUP(D18,'6月'!D:L,9,0)</f>
        <v>3.3216342199068</v>
      </c>
      <c r="K18" s="10">
        <f>VLOOKUP(D18,'6月'!D:M,10,0)</f>
        <v>2</v>
      </c>
      <c r="L18" s="10">
        <f>VLOOKUP(D18,'6月'!D:N,11,0)</f>
        <v>4</v>
      </c>
      <c r="M18" s="10">
        <f>VLOOKUP(D18,'6月'!D:O,12,0)</f>
        <v>2.96185737976783</v>
      </c>
      <c r="N18" s="10">
        <f>VLOOKUP(D18,'6月'!D:P,13,0)</f>
        <v>4</v>
      </c>
      <c r="O18" s="22">
        <f t="shared" si="11"/>
        <v>3.19480519480521</v>
      </c>
      <c r="P18" s="22">
        <f t="shared" si="12"/>
        <v>3.3216342199068</v>
      </c>
      <c r="Q18" s="22">
        <f t="shared" si="13"/>
        <v>2</v>
      </c>
      <c r="R18" s="22">
        <f t="shared" si="14"/>
        <v>4</v>
      </c>
      <c r="S18" s="22">
        <f t="shared" si="15"/>
        <v>2.96185737976783</v>
      </c>
      <c r="T18" s="22">
        <f t="shared" si="16"/>
        <v>4</v>
      </c>
    </row>
    <row r="19" spans="1:20">
      <c r="A19" s="7"/>
      <c r="B19" s="7"/>
      <c r="C19" s="7"/>
      <c r="D19" s="7" t="s">
        <v>89</v>
      </c>
      <c r="E19" s="7">
        <v>3</v>
      </c>
      <c r="F19" s="7">
        <v>2</v>
      </c>
      <c r="G19" s="13" t="s">
        <v>90</v>
      </c>
      <c r="H19" s="14" t="s">
        <v>91</v>
      </c>
      <c r="I19" s="10">
        <f>VLOOKUP(D19,'6月'!D:K,8,0)</f>
        <v>3</v>
      </c>
      <c r="J19" s="10">
        <f>VLOOKUP(D19,'6月'!D:L,9,0)</f>
        <v>3</v>
      </c>
      <c r="K19" s="10">
        <f>VLOOKUP(D19,'6月'!D:M,10,0)</f>
        <v>3</v>
      </c>
      <c r="L19" s="10">
        <f>VLOOKUP(D19,'6月'!D:N,11,0)</f>
        <v>3</v>
      </c>
      <c r="M19" s="10">
        <f>VLOOKUP(D19,'6月'!D:O,12,0)</f>
        <v>3</v>
      </c>
      <c r="N19" s="10">
        <f>VLOOKUP(D19,'6月'!D:P,13,0)</f>
        <v>3</v>
      </c>
      <c r="O19" s="22">
        <f t="shared" si="11"/>
        <v>2</v>
      </c>
      <c r="P19" s="22">
        <f t="shared" si="12"/>
        <v>2</v>
      </c>
      <c r="Q19" s="22">
        <f t="shared" si="13"/>
        <v>2</v>
      </c>
      <c r="R19" s="22">
        <f t="shared" si="14"/>
        <v>2</v>
      </c>
      <c r="S19" s="22">
        <f t="shared" si="15"/>
        <v>2</v>
      </c>
      <c r="T19" s="22">
        <f t="shared" si="16"/>
        <v>2</v>
      </c>
    </row>
    <row r="20" spans="1:20">
      <c r="A20" s="7"/>
      <c r="B20" s="7"/>
      <c r="C20" s="7"/>
      <c r="D20" s="13" t="s">
        <v>92</v>
      </c>
      <c r="E20" s="13">
        <v>3</v>
      </c>
      <c r="F20" s="13">
        <v>3</v>
      </c>
      <c r="G20" s="13" t="s">
        <v>93</v>
      </c>
      <c r="H20" s="15" t="s">
        <v>148</v>
      </c>
      <c r="I20" s="9">
        <v>3</v>
      </c>
      <c r="J20" s="9">
        <v>3</v>
      </c>
      <c r="K20" s="9">
        <v>3</v>
      </c>
      <c r="L20" s="9">
        <v>3</v>
      </c>
      <c r="M20" s="9">
        <v>3</v>
      </c>
      <c r="N20" s="9">
        <v>3</v>
      </c>
      <c r="O20" s="22">
        <f t="shared" si="11"/>
        <v>3</v>
      </c>
      <c r="P20" s="22">
        <f t="shared" si="12"/>
        <v>3</v>
      </c>
      <c r="Q20" s="22">
        <f t="shared" si="13"/>
        <v>3</v>
      </c>
      <c r="R20" s="22">
        <f t="shared" si="14"/>
        <v>3</v>
      </c>
      <c r="S20" s="22">
        <f t="shared" si="15"/>
        <v>3</v>
      </c>
      <c r="T20" s="22">
        <f t="shared" si="16"/>
        <v>3</v>
      </c>
    </row>
    <row r="21" spans="1:20">
      <c r="A21" s="7"/>
      <c r="B21" s="7"/>
      <c r="C21" s="7"/>
      <c r="D21" s="13"/>
      <c r="E21" s="13">
        <v>3</v>
      </c>
      <c r="F21" s="13">
        <v>3</v>
      </c>
      <c r="G21" s="13"/>
      <c r="H21" s="13" t="s">
        <v>95</v>
      </c>
      <c r="I21" s="9">
        <v>2.791236030199</v>
      </c>
      <c r="J21" s="9">
        <v>3</v>
      </c>
      <c r="K21" s="9">
        <v>2.91676337464246</v>
      </c>
      <c r="L21" s="9">
        <v>3</v>
      </c>
      <c r="M21" s="9">
        <v>2.65681507490191</v>
      </c>
      <c r="N21" s="9">
        <v>3</v>
      </c>
      <c r="O21" s="22">
        <f t="shared" si="11"/>
        <v>2.791236030199</v>
      </c>
      <c r="P21" s="22">
        <f t="shared" si="12"/>
        <v>3</v>
      </c>
      <c r="Q21" s="22">
        <f t="shared" si="13"/>
        <v>2.91676337464246</v>
      </c>
      <c r="R21" s="22">
        <f t="shared" si="14"/>
        <v>3</v>
      </c>
      <c r="S21" s="22">
        <f t="shared" si="15"/>
        <v>2.65681507490191</v>
      </c>
      <c r="T21" s="22">
        <f t="shared" si="16"/>
        <v>3</v>
      </c>
    </row>
    <row r="22" spans="1:20">
      <c r="A22" s="7"/>
      <c r="B22" s="7" t="s">
        <v>96</v>
      </c>
      <c r="C22" s="7">
        <v>5</v>
      </c>
      <c r="D22" s="7" t="s">
        <v>97</v>
      </c>
      <c r="E22" s="7">
        <v>1</v>
      </c>
      <c r="F22" s="7">
        <v>1</v>
      </c>
      <c r="G22" s="13" t="s">
        <v>98</v>
      </c>
      <c r="H22" s="14" t="s">
        <v>99</v>
      </c>
      <c r="I22" s="10">
        <f>VLOOKUP(D22,'6月'!D:K,8,0)</f>
        <v>1</v>
      </c>
      <c r="J22" s="10">
        <f>VLOOKUP(D22,'6月'!D:L,9,0)</f>
        <v>1</v>
      </c>
      <c r="K22" s="10">
        <f>VLOOKUP(D22,'6月'!D:M,10,0)</f>
        <v>1</v>
      </c>
      <c r="L22" s="10">
        <f>VLOOKUP(D22,'6月'!D:N,11,0)</f>
        <v>1</v>
      </c>
      <c r="M22" s="10">
        <f>VLOOKUP(D22,'6月'!D:O,12,0)</f>
        <v>1</v>
      </c>
      <c r="N22" s="10">
        <f>VLOOKUP(D22,'6月'!D:P,13,0)</f>
        <v>1</v>
      </c>
      <c r="O22" s="22">
        <f t="shared" si="11"/>
        <v>1</v>
      </c>
      <c r="P22" s="22">
        <f t="shared" si="12"/>
        <v>1</v>
      </c>
      <c r="Q22" s="22">
        <f t="shared" si="13"/>
        <v>1</v>
      </c>
      <c r="R22" s="22">
        <f t="shared" si="14"/>
        <v>1</v>
      </c>
      <c r="S22" s="22">
        <f t="shared" si="15"/>
        <v>1</v>
      </c>
      <c r="T22" s="22">
        <f t="shared" si="16"/>
        <v>1</v>
      </c>
    </row>
    <row r="23" spans="1:20">
      <c r="A23" s="7"/>
      <c r="B23" s="7"/>
      <c r="C23" s="7"/>
      <c r="D23" s="7" t="s">
        <v>101</v>
      </c>
      <c r="E23" s="7">
        <v>2</v>
      </c>
      <c r="F23" s="7">
        <v>2</v>
      </c>
      <c r="G23" s="13" t="s">
        <v>149</v>
      </c>
      <c r="H23" s="13" t="s">
        <v>150</v>
      </c>
      <c r="I23" s="10">
        <f>VLOOKUP(D23,'6月'!D:K,8,0)</f>
        <v>2</v>
      </c>
      <c r="J23" s="10">
        <f>VLOOKUP(D23,'6月'!D:L,9,0)</f>
        <v>2</v>
      </c>
      <c r="K23" s="10">
        <f>VLOOKUP(D23,'6月'!D:M,10,0)</f>
        <v>2</v>
      </c>
      <c r="L23" s="10">
        <f>VLOOKUP(D23,'6月'!D:N,11,0)</f>
        <v>2</v>
      </c>
      <c r="M23" s="10">
        <f>VLOOKUP(D23,'6月'!D:O,12,0)</f>
        <v>2</v>
      </c>
      <c r="N23" s="10">
        <f>VLOOKUP(D23,'6月'!D:P,13,0)</f>
        <v>2</v>
      </c>
      <c r="O23" s="22">
        <f t="shared" si="11"/>
        <v>2</v>
      </c>
      <c r="P23" s="22">
        <f t="shared" si="12"/>
        <v>2</v>
      </c>
      <c r="Q23" s="22">
        <f t="shared" si="13"/>
        <v>2</v>
      </c>
      <c r="R23" s="22">
        <f t="shared" si="14"/>
        <v>2</v>
      </c>
      <c r="S23" s="22">
        <f t="shared" si="15"/>
        <v>2</v>
      </c>
      <c r="T23" s="22">
        <f t="shared" si="16"/>
        <v>2</v>
      </c>
    </row>
    <row r="24" spans="1:20">
      <c r="A24" s="7"/>
      <c r="B24" s="7"/>
      <c r="C24" s="7"/>
      <c r="D24" s="7" t="s">
        <v>104</v>
      </c>
      <c r="E24" s="7">
        <v>2</v>
      </c>
      <c r="F24" s="7">
        <v>3</v>
      </c>
      <c r="G24" s="13" t="s">
        <v>105</v>
      </c>
      <c r="H24" s="13" t="s">
        <v>106</v>
      </c>
      <c r="I24" s="10">
        <f>VLOOKUP(D24,'6月'!D:K,8,0)</f>
        <v>2</v>
      </c>
      <c r="J24" s="10">
        <f>VLOOKUP(D24,'6月'!D:L,9,0)</f>
        <v>2</v>
      </c>
      <c r="K24" s="10">
        <f>VLOOKUP(D24,'6月'!D:M,10,0)</f>
        <v>2</v>
      </c>
      <c r="L24" s="10">
        <f>VLOOKUP(D24,'6月'!D:N,11,0)</f>
        <v>2</v>
      </c>
      <c r="M24" s="10">
        <f>VLOOKUP(D24,'6月'!D:O,12,0)</f>
        <v>2</v>
      </c>
      <c r="N24" s="10">
        <f>VLOOKUP(D24,'6月'!D:P,13,0)</f>
        <v>2</v>
      </c>
      <c r="O24" s="22">
        <f t="shared" si="11"/>
        <v>3</v>
      </c>
      <c r="P24" s="22">
        <f t="shared" si="12"/>
        <v>3</v>
      </c>
      <c r="Q24" s="22">
        <f t="shared" si="13"/>
        <v>3</v>
      </c>
      <c r="R24" s="22">
        <f t="shared" si="14"/>
        <v>3</v>
      </c>
      <c r="S24" s="22">
        <f t="shared" si="15"/>
        <v>3</v>
      </c>
      <c r="T24" s="22">
        <f t="shared" si="16"/>
        <v>3</v>
      </c>
    </row>
    <row r="25" spans="1:20">
      <c r="A25" s="8" t="s">
        <v>107</v>
      </c>
      <c r="B25" s="8" t="s">
        <v>107</v>
      </c>
      <c r="C25" s="8">
        <v>10</v>
      </c>
      <c r="D25" s="7" t="s">
        <v>108</v>
      </c>
      <c r="E25" s="7">
        <v>3</v>
      </c>
      <c r="F25" s="7">
        <v>3</v>
      </c>
      <c r="G25" s="13" t="s">
        <v>109</v>
      </c>
      <c r="H25" s="13" t="s">
        <v>110</v>
      </c>
      <c r="I25" s="10" t="str">
        <f>VLOOKUP(D25,'6月'!D:K,8,0)</f>
        <v>/</v>
      </c>
      <c r="J25" s="10" t="str">
        <f>VLOOKUP(D25,'6月'!D:L,9,0)</f>
        <v>/</v>
      </c>
      <c r="K25" s="10" t="str">
        <f>VLOOKUP(D25,'6月'!D:M,10,0)</f>
        <v>/</v>
      </c>
      <c r="L25" s="10" t="str">
        <f>VLOOKUP(D25,'6月'!D:N,11,0)</f>
        <v>/</v>
      </c>
      <c r="M25" s="10" t="str">
        <f>VLOOKUP(D25,'6月'!D:O,12,0)</f>
        <v>/</v>
      </c>
      <c r="N25" s="10" t="str">
        <f>VLOOKUP(D25,'6月'!D:P,13,0)</f>
        <v>/</v>
      </c>
      <c r="O25" s="23" t="s">
        <v>111</v>
      </c>
      <c r="P25" s="23" t="s">
        <v>111</v>
      </c>
      <c r="Q25" s="23" t="s">
        <v>111</v>
      </c>
      <c r="R25" s="23" t="s">
        <v>111</v>
      </c>
      <c r="S25" s="23" t="s">
        <v>111</v>
      </c>
      <c r="T25" s="23" t="s">
        <v>111</v>
      </c>
    </row>
    <row r="26" spans="1:20">
      <c r="A26" s="11"/>
      <c r="B26" s="11"/>
      <c r="C26" s="11"/>
      <c r="D26" s="8" t="s">
        <v>112</v>
      </c>
      <c r="E26" s="8">
        <v>7</v>
      </c>
      <c r="F26" s="8">
        <v>7</v>
      </c>
      <c r="G26" s="16" t="s">
        <v>113</v>
      </c>
      <c r="H26" s="16" t="s">
        <v>114</v>
      </c>
      <c r="I26" s="10">
        <f>VLOOKUP(D26,'6月'!D:K,8,0)</f>
        <v>0.283500000000001</v>
      </c>
      <c r="J26" s="10">
        <f>VLOOKUP(D26,'6月'!D:L,9,0)</f>
        <v>7</v>
      </c>
      <c r="K26" s="10">
        <f>VLOOKUP(D26,'6月'!D:M,10,0)</f>
        <v>2.422</v>
      </c>
      <c r="L26" s="10">
        <f>VLOOKUP(D26,'6月'!D:N,11,0)</f>
        <v>7</v>
      </c>
      <c r="M26" s="10">
        <f>VLOOKUP(D26,'6月'!D:O,12,0)</f>
        <v>5.5545</v>
      </c>
      <c r="N26" s="10">
        <f>VLOOKUP(D26,'6月'!D:P,13,0)</f>
        <v>7</v>
      </c>
      <c r="O26" s="22">
        <f t="shared" ref="O26:O28" si="17">I26/$E26*$F26</f>
        <v>0.283500000000001</v>
      </c>
      <c r="P26" s="22">
        <f t="shared" ref="P26:P28" si="18">J26/$E26*$F26</f>
        <v>7</v>
      </c>
      <c r="Q26" s="22">
        <f t="shared" ref="Q26:Q28" si="19">K26/$E26*$F26</f>
        <v>2.422</v>
      </c>
      <c r="R26" s="22">
        <f t="shared" ref="R26:R28" si="20">L26/$E26*$F26</f>
        <v>7</v>
      </c>
      <c r="S26" s="22">
        <f t="shared" ref="S26:S28" si="21">M26/$E26*$F26</f>
        <v>5.5545</v>
      </c>
      <c r="T26" s="22">
        <f t="shared" ref="T26:T28" si="22">N26/$E26*$F26</f>
        <v>7</v>
      </c>
    </row>
    <row r="27" ht="46.8" spans="1:20">
      <c r="A27" s="17" t="s">
        <v>115</v>
      </c>
      <c r="B27" s="17" t="s">
        <v>115</v>
      </c>
      <c r="C27" s="17">
        <v>-3</v>
      </c>
      <c r="D27" s="17" t="s">
        <v>116</v>
      </c>
      <c r="E27" s="17">
        <v>2</v>
      </c>
      <c r="F27" s="17">
        <v>2</v>
      </c>
      <c r="G27" s="24" t="s">
        <v>117</v>
      </c>
      <c r="H27" s="24" t="s">
        <v>118</v>
      </c>
      <c r="I27" s="10">
        <f>VLOOKUP(D27,'6月'!D:K,8,0)</f>
        <v>0</v>
      </c>
      <c r="J27" s="10">
        <f>VLOOKUP(D27,'6月'!D:L,9,0)</f>
        <v>0</v>
      </c>
      <c r="K27" s="10">
        <f>VLOOKUP(D27,'6月'!D:M,10,0)</f>
        <v>0</v>
      </c>
      <c r="L27" s="10">
        <f>VLOOKUP(D27,'6月'!D:N,11,0)</f>
        <v>0</v>
      </c>
      <c r="M27" s="10">
        <f>VLOOKUP(D27,'6月'!D:O,12,0)</f>
        <v>0</v>
      </c>
      <c r="N27" s="10">
        <f>VLOOKUP(D27,'6月'!D:P,13,0)</f>
        <v>0</v>
      </c>
      <c r="O27" s="22">
        <f t="shared" si="17"/>
        <v>0</v>
      </c>
      <c r="P27" s="22">
        <f t="shared" si="18"/>
        <v>0</v>
      </c>
      <c r="Q27" s="22">
        <f t="shared" si="19"/>
        <v>0</v>
      </c>
      <c r="R27" s="22">
        <f t="shared" si="20"/>
        <v>0</v>
      </c>
      <c r="S27" s="22">
        <f t="shared" si="21"/>
        <v>0</v>
      </c>
      <c r="T27" s="22">
        <f t="shared" si="22"/>
        <v>0</v>
      </c>
    </row>
    <row r="28" spans="1:20">
      <c r="A28" s="17"/>
      <c r="B28" s="17"/>
      <c r="C28" s="17"/>
      <c r="D28" s="17" t="s">
        <v>119</v>
      </c>
      <c r="E28" s="17">
        <v>-5</v>
      </c>
      <c r="F28" s="17">
        <v>-5</v>
      </c>
      <c r="G28" s="17" t="s">
        <v>120</v>
      </c>
      <c r="H28" s="17" t="s">
        <v>121</v>
      </c>
      <c r="I28" s="10">
        <v>0</v>
      </c>
      <c r="J28" s="10">
        <v>0</v>
      </c>
      <c r="K28" s="10">
        <f>VLOOKUP(D28,'6月'!D:M,10,0)</f>
        <v>-0.8</v>
      </c>
      <c r="L28" s="10">
        <v>0</v>
      </c>
      <c r="M28" s="10">
        <v>0</v>
      </c>
      <c r="N28" s="10">
        <f>VLOOKUP(D28,'6月'!D:P,13,0)</f>
        <v>-0.8</v>
      </c>
      <c r="O28" s="22">
        <f t="shared" si="17"/>
        <v>0</v>
      </c>
      <c r="P28" s="22">
        <f t="shared" si="18"/>
        <v>0</v>
      </c>
      <c r="Q28" s="22">
        <f t="shared" si="19"/>
        <v>-0.8</v>
      </c>
      <c r="R28" s="22">
        <f t="shared" si="20"/>
        <v>0</v>
      </c>
      <c r="S28" s="22">
        <f t="shared" si="21"/>
        <v>0</v>
      </c>
      <c r="T28" s="22">
        <f t="shared" si="22"/>
        <v>-0.8</v>
      </c>
    </row>
    <row r="29" spans="1:20">
      <c r="A29" s="17"/>
      <c r="B29" s="17"/>
      <c r="C29" s="17"/>
      <c r="D29" s="17" t="s">
        <v>151</v>
      </c>
      <c r="E29" s="17" t="s">
        <v>111</v>
      </c>
      <c r="F29" s="17">
        <v>10</v>
      </c>
      <c r="G29" s="17"/>
      <c r="H29" s="17" t="s">
        <v>152</v>
      </c>
      <c r="O29" s="22">
        <v>10</v>
      </c>
      <c r="P29" s="22">
        <v>10</v>
      </c>
      <c r="Q29" s="22">
        <v>10</v>
      </c>
      <c r="R29" s="22">
        <v>10</v>
      </c>
      <c r="S29" s="22">
        <v>10</v>
      </c>
      <c r="T29" s="22">
        <v>10</v>
      </c>
    </row>
    <row r="30" spans="1:20">
      <c r="A30" s="17" t="s">
        <v>122</v>
      </c>
      <c r="B30" s="17" t="s">
        <v>122</v>
      </c>
      <c r="C30" s="17" t="s">
        <v>123</v>
      </c>
      <c r="D30" s="17" t="s">
        <v>124</v>
      </c>
      <c r="E30" s="17" t="s">
        <v>123</v>
      </c>
      <c r="F30" s="17" t="s">
        <v>123</v>
      </c>
      <c r="G30" s="17"/>
      <c r="H30" s="25"/>
      <c r="O30" s="22">
        <v>0</v>
      </c>
      <c r="P30" s="22">
        <v>0</v>
      </c>
      <c r="Q30" s="22">
        <v>0</v>
      </c>
      <c r="R30" s="22">
        <v>0</v>
      </c>
      <c r="S30" s="22">
        <v>0</v>
      </c>
      <c r="T30" s="22">
        <v>0</v>
      </c>
    </row>
    <row r="31" spans="1:20">
      <c r="A31" s="17" t="s">
        <v>125</v>
      </c>
      <c r="B31" s="17"/>
      <c r="C31" s="17"/>
      <c r="D31" s="17"/>
      <c r="E31" s="17"/>
      <c r="F31" s="17">
        <f>SUM(F2:F30)</f>
        <v>100</v>
      </c>
      <c r="G31" s="17"/>
      <c r="H31" s="17"/>
      <c r="O31" s="22">
        <f>SUM(O2:O30)</f>
        <v>85.5295412250042</v>
      </c>
      <c r="P31" s="22">
        <f t="shared" ref="O31:T31" si="23">SUM(P2:P30)</f>
        <v>91.7516342199068</v>
      </c>
      <c r="Q31" s="22">
        <f t="shared" si="23"/>
        <v>82.9687633746424</v>
      </c>
      <c r="R31" s="22">
        <f t="shared" si="23"/>
        <v>96.94</v>
      </c>
      <c r="S31" s="22">
        <f t="shared" si="23"/>
        <v>88.4031724546698</v>
      </c>
      <c r="T31" s="22">
        <f t="shared" si="23"/>
        <v>91.675</v>
      </c>
    </row>
    <row r="32" spans="1:20">
      <c r="O32" s="26">
        <f t="shared" ref="O32:T32" si="24">O31/97*100</f>
        <v>88.1747847680456</v>
      </c>
      <c r="P32" s="26">
        <f t="shared" si="24"/>
        <v>94.5893136287699</v>
      </c>
      <c r="Q32" s="26">
        <f t="shared" si="24"/>
        <v>85.5348076027242</v>
      </c>
      <c r="R32" s="26">
        <f t="shared" si="24"/>
        <v>99.9381443298969</v>
      </c>
      <c r="S32" s="26">
        <f t="shared" si="24"/>
        <v>91.1372911903812</v>
      </c>
      <c r="T32" s="26">
        <f t="shared" si="24"/>
        <v>94.5103092783505</v>
      </c>
    </row>
  </sheetData>
  <mergeCells count="28">
    <mergeCell ref="A1:B1"/>
    <mergeCell ref="A31:D31"/>
    <mergeCell ref="A2:A9"/>
    <mergeCell ref="A10:A24"/>
    <mergeCell ref="A25:A26"/>
    <mergeCell ref="A27:A28"/>
    <mergeCell ref="B2:B3"/>
    <mergeCell ref="B4:B6"/>
    <mergeCell ref="B7:B9"/>
    <mergeCell ref="B12:B13"/>
    <mergeCell ref="B14:B17"/>
    <mergeCell ref="B18:B21"/>
    <mergeCell ref="B22:B24"/>
    <mergeCell ref="B25:B26"/>
    <mergeCell ref="B27:B28"/>
    <mergeCell ref="C2:C3"/>
    <mergeCell ref="C4:C6"/>
    <mergeCell ref="C7:C9"/>
    <mergeCell ref="C12:C13"/>
    <mergeCell ref="C14:C17"/>
    <mergeCell ref="C18:C21"/>
    <mergeCell ref="C22:C24"/>
    <mergeCell ref="C25:C26"/>
    <mergeCell ref="C27:C28"/>
    <mergeCell ref="D20:D21"/>
    <mergeCell ref="G4:G6"/>
    <mergeCell ref="G20:G21"/>
    <mergeCell ref="H4:H6"/>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9"/>
  <sheetViews>
    <sheetView workbookViewId="0">
      <selection activeCell="R32" sqref="R32"/>
    </sheetView>
  </sheetViews>
  <sheetFormatPr defaultColWidth="9" defaultRowHeight="15.6"/>
  <cols>
    <col min="4" max="4" width="31.5" customWidth="1"/>
    <col min="13" max="16" width="7.37878787878788" customWidth="1"/>
  </cols>
  <sheetData>
    <row r="1" spans="1:16">
      <c r="A1" s="4" t="s">
        <v>0</v>
      </c>
      <c r="B1" s="4"/>
      <c r="C1" s="4" t="s">
        <v>1</v>
      </c>
      <c r="D1" s="4" t="s">
        <v>2</v>
      </c>
      <c r="E1" s="4" t="s">
        <v>139</v>
      </c>
      <c r="F1" s="4" t="s">
        <v>153</v>
      </c>
      <c r="G1" s="4" t="s">
        <v>4</v>
      </c>
      <c r="H1" s="4" t="s">
        <v>5</v>
      </c>
      <c r="I1" s="5" t="s">
        <v>15</v>
      </c>
      <c r="J1" s="5" t="s">
        <v>16</v>
      </c>
      <c r="K1" s="5" t="s">
        <v>17</v>
      </c>
      <c r="L1" s="5" t="s">
        <v>18</v>
      </c>
      <c r="M1" s="6" t="s">
        <v>15</v>
      </c>
      <c r="N1" s="6" t="s">
        <v>16</v>
      </c>
      <c r="O1" s="6" t="s">
        <v>17</v>
      </c>
      <c r="P1" s="6" t="s">
        <v>18</v>
      </c>
    </row>
    <row r="2" spans="1:16">
      <c r="A2" s="7" t="s">
        <v>19</v>
      </c>
      <c r="B2" s="8" t="s">
        <v>20</v>
      </c>
      <c r="C2" s="8">
        <v>12</v>
      </c>
      <c r="D2" s="7" t="s">
        <v>21</v>
      </c>
      <c r="E2" s="7">
        <v>10</v>
      </c>
      <c r="F2" s="7">
        <v>10</v>
      </c>
      <c r="G2" s="7" t="s">
        <v>22</v>
      </c>
      <c r="H2" s="7" t="s">
        <v>23</v>
      </c>
      <c r="I2" s="9">
        <v>9.3</v>
      </c>
      <c r="J2" s="9">
        <v>9.3</v>
      </c>
      <c r="K2" s="9">
        <v>9.3</v>
      </c>
      <c r="L2" s="9">
        <v>9.3</v>
      </c>
      <c r="M2" s="10">
        <f>I2/$E2*$F2</f>
        <v>9.3</v>
      </c>
      <c r="N2" s="10">
        <f>J2/$E2*$F2</f>
        <v>9.3</v>
      </c>
      <c r="O2" s="10">
        <f>K2/$E2*$F2</f>
        <v>9.3</v>
      </c>
      <c r="P2" s="10">
        <f>L2/$E2*$F2</f>
        <v>9.3</v>
      </c>
    </row>
    <row r="3" spans="1:16">
      <c r="A3" s="7"/>
      <c r="B3" s="11"/>
      <c r="C3" s="11"/>
      <c r="D3" s="7" t="s">
        <v>26</v>
      </c>
      <c r="E3" s="7">
        <v>2</v>
      </c>
      <c r="F3" s="7">
        <v>2</v>
      </c>
      <c r="G3" s="7" t="s">
        <v>27</v>
      </c>
      <c r="H3" s="7" t="s">
        <v>28</v>
      </c>
      <c r="I3" s="9">
        <v>2</v>
      </c>
      <c r="J3" s="9">
        <v>2</v>
      </c>
      <c r="K3" s="9">
        <v>2</v>
      </c>
      <c r="L3" s="9">
        <v>2</v>
      </c>
      <c r="M3" s="10">
        <f t="shared" ref="M3:M25" si="0">I3/$E3*$F3</f>
        <v>2</v>
      </c>
      <c r="N3" s="10">
        <f t="shared" ref="N3:N25" si="1">J3/$E3*$F3</f>
        <v>2</v>
      </c>
      <c r="O3" s="10">
        <f t="shared" ref="O3:O25" si="2">K3/$E3*$F3</f>
        <v>2</v>
      </c>
      <c r="P3" s="10">
        <f t="shared" ref="P3:P25" si="3">L3/$E3*$F3</f>
        <v>2</v>
      </c>
    </row>
    <row r="4" spans="1:16">
      <c r="A4" s="7"/>
      <c r="B4" s="7" t="s">
        <v>30</v>
      </c>
      <c r="C4" s="7">
        <v>13</v>
      </c>
      <c r="D4" s="7" t="s">
        <v>31</v>
      </c>
      <c r="E4" s="7">
        <v>5</v>
      </c>
      <c r="F4" s="7">
        <v>4</v>
      </c>
      <c r="G4" s="7" t="s">
        <v>141</v>
      </c>
      <c r="H4" s="8" t="s">
        <v>142</v>
      </c>
      <c r="I4" s="9">
        <v>2.5</v>
      </c>
      <c r="J4" s="9">
        <v>2.5</v>
      </c>
      <c r="K4" s="9">
        <v>2.5</v>
      </c>
      <c r="L4" s="9">
        <v>2.5</v>
      </c>
      <c r="M4" s="10">
        <f t="shared" si="0"/>
        <v>2</v>
      </c>
      <c r="N4" s="10">
        <f t="shared" si="1"/>
        <v>2</v>
      </c>
      <c r="O4" s="10">
        <f t="shared" si="2"/>
        <v>2</v>
      </c>
      <c r="P4" s="10">
        <f t="shared" si="3"/>
        <v>2</v>
      </c>
    </row>
    <row r="5" spans="1:16">
      <c r="A5" s="7"/>
      <c r="B5" s="7"/>
      <c r="C5" s="7"/>
      <c r="D5" s="7" t="s">
        <v>154</v>
      </c>
      <c r="E5" s="7">
        <v>4</v>
      </c>
      <c r="F5" s="7">
        <v>8</v>
      </c>
      <c r="G5" s="7"/>
      <c r="H5" s="11"/>
      <c r="I5" s="9">
        <v>3.9</v>
      </c>
      <c r="J5" s="9">
        <v>3.9</v>
      </c>
      <c r="K5" s="9">
        <v>1.75</v>
      </c>
      <c r="L5" s="9">
        <v>3.9</v>
      </c>
      <c r="M5" s="10">
        <f t="shared" si="0"/>
        <v>7.8</v>
      </c>
      <c r="N5" s="10">
        <f t="shared" si="1"/>
        <v>7.8</v>
      </c>
      <c r="O5" s="10">
        <f t="shared" si="2"/>
        <v>3.5</v>
      </c>
      <c r="P5" s="10">
        <f t="shared" si="3"/>
        <v>7.8</v>
      </c>
    </row>
    <row r="6" spans="1:16">
      <c r="A6" s="7"/>
      <c r="B6" s="7"/>
      <c r="C6" s="7"/>
      <c r="D6" s="7" t="s">
        <v>39</v>
      </c>
      <c r="E6" s="7">
        <v>4</v>
      </c>
      <c r="F6" s="7">
        <v>8</v>
      </c>
      <c r="G6" s="7"/>
      <c r="H6" s="12"/>
      <c r="I6" s="9">
        <v>3.12</v>
      </c>
      <c r="J6" s="9">
        <v>4</v>
      </c>
      <c r="K6" s="9">
        <v>4</v>
      </c>
      <c r="L6" s="9">
        <v>3.12</v>
      </c>
      <c r="M6" s="10">
        <f t="shared" si="0"/>
        <v>6.24</v>
      </c>
      <c r="N6" s="10">
        <f t="shared" si="1"/>
        <v>8</v>
      </c>
      <c r="O6" s="10">
        <f t="shared" si="2"/>
        <v>8</v>
      </c>
      <c r="P6" s="10">
        <f t="shared" si="3"/>
        <v>6.24</v>
      </c>
    </row>
    <row r="7" spans="1:16">
      <c r="A7" s="7"/>
      <c r="B7" s="7" t="s">
        <v>40</v>
      </c>
      <c r="C7" s="7">
        <v>13</v>
      </c>
      <c r="D7" s="7" t="s">
        <v>155</v>
      </c>
      <c r="E7" s="7">
        <v>6</v>
      </c>
      <c r="F7" s="7">
        <v>2</v>
      </c>
      <c r="G7" s="7" t="s">
        <v>42</v>
      </c>
      <c r="H7" s="7" t="s">
        <v>43</v>
      </c>
      <c r="I7" s="9">
        <v>9</v>
      </c>
      <c r="J7" s="9">
        <v>9</v>
      </c>
      <c r="K7" s="9">
        <v>9</v>
      </c>
      <c r="L7" s="9">
        <v>9</v>
      </c>
      <c r="M7" s="10">
        <f t="shared" si="0"/>
        <v>3</v>
      </c>
      <c r="N7" s="10">
        <f t="shared" si="1"/>
        <v>3</v>
      </c>
      <c r="O7" s="10">
        <f t="shared" si="2"/>
        <v>3</v>
      </c>
      <c r="P7" s="10">
        <f t="shared" si="3"/>
        <v>3</v>
      </c>
    </row>
    <row r="8" spans="1:16">
      <c r="A8" s="7"/>
      <c r="B8" s="7"/>
      <c r="C8" s="7"/>
      <c r="D8" s="7" t="s">
        <v>156</v>
      </c>
      <c r="E8" s="7">
        <v>2</v>
      </c>
      <c r="F8" s="7">
        <v>3</v>
      </c>
      <c r="G8" s="7" t="s">
        <v>46</v>
      </c>
      <c r="H8" s="7" t="s">
        <v>143</v>
      </c>
      <c r="I8" s="9">
        <v>3</v>
      </c>
      <c r="J8" s="9">
        <v>3</v>
      </c>
      <c r="K8" s="9">
        <v>3</v>
      </c>
      <c r="L8" s="9">
        <v>3</v>
      </c>
      <c r="M8" s="10">
        <f t="shared" si="0"/>
        <v>4.5</v>
      </c>
      <c r="N8" s="10">
        <f t="shared" si="1"/>
        <v>4.5</v>
      </c>
      <c r="O8" s="10">
        <f t="shared" si="2"/>
        <v>4.5</v>
      </c>
      <c r="P8" s="10">
        <f t="shared" si="3"/>
        <v>4.5</v>
      </c>
    </row>
    <row r="9" spans="1:16">
      <c r="A9" s="7"/>
      <c r="B9" s="7"/>
      <c r="C9" s="7"/>
      <c r="D9" s="7" t="s">
        <v>49</v>
      </c>
      <c r="E9" s="7">
        <v>5</v>
      </c>
      <c r="F9" s="7">
        <v>5</v>
      </c>
      <c r="G9" s="7" t="s">
        <v>50</v>
      </c>
      <c r="H9" s="7" t="s">
        <v>144</v>
      </c>
      <c r="I9" s="9">
        <v>5</v>
      </c>
      <c r="J9" s="9">
        <v>5</v>
      </c>
      <c r="K9" s="9">
        <v>5</v>
      </c>
      <c r="L9" s="9">
        <v>5</v>
      </c>
      <c r="M9" s="10">
        <f t="shared" si="0"/>
        <v>5</v>
      </c>
      <c r="N9" s="10">
        <f t="shared" si="1"/>
        <v>5</v>
      </c>
      <c r="O9" s="10">
        <f t="shared" si="2"/>
        <v>5</v>
      </c>
      <c r="P9" s="10">
        <f t="shared" si="3"/>
        <v>5</v>
      </c>
    </row>
    <row r="10" spans="1:16">
      <c r="A10" s="7" t="s">
        <v>145</v>
      </c>
      <c r="B10" s="7" t="s">
        <v>53</v>
      </c>
      <c r="C10" s="7">
        <v>10</v>
      </c>
      <c r="D10" s="7" t="s">
        <v>54</v>
      </c>
      <c r="E10" s="7">
        <v>10</v>
      </c>
      <c r="F10" s="7">
        <v>10</v>
      </c>
      <c r="G10" s="7" t="s">
        <v>55</v>
      </c>
      <c r="H10" s="7" t="s">
        <v>56</v>
      </c>
      <c r="I10" s="9">
        <v>10</v>
      </c>
      <c r="J10" s="9">
        <v>10</v>
      </c>
      <c r="K10" s="9">
        <v>10</v>
      </c>
      <c r="L10" s="9">
        <v>10</v>
      </c>
      <c r="M10" s="10">
        <f t="shared" si="0"/>
        <v>10</v>
      </c>
      <c r="N10" s="10">
        <f t="shared" si="1"/>
        <v>10</v>
      </c>
      <c r="O10" s="10">
        <f t="shared" si="2"/>
        <v>10</v>
      </c>
      <c r="P10" s="10">
        <f t="shared" si="3"/>
        <v>10</v>
      </c>
    </row>
    <row r="11" spans="1:16">
      <c r="A11" s="7"/>
      <c r="B11" s="7" t="s">
        <v>58</v>
      </c>
      <c r="C11" s="7">
        <v>10</v>
      </c>
      <c r="D11" s="7" t="s">
        <v>59</v>
      </c>
      <c r="E11" s="7">
        <v>10</v>
      </c>
      <c r="F11" s="7">
        <v>4</v>
      </c>
      <c r="G11" s="7" t="s">
        <v>60</v>
      </c>
      <c r="H11" s="7" t="s">
        <v>61</v>
      </c>
      <c r="I11" s="9">
        <v>10</v>
      </c>
      <c r="J11" s="9">
        <v>10</v>
      </c>
      <c r="K11" s="9">
        <v>10</v>
      </c>
      <c r="L11" s="9">
        <v>10</v>
      </c>
      <c r="M11" s="10">
        <f t="shared" si="0"/>
        <v>4</v>
      </c>
      <c r="N11" s="10">
        <f t="shared" si="1"/>
        <v>4</v>
      </c>
      <c r="O11" s="10">
        <f t="shared" si="2"/>
        <v>4</v>
      </c>
      <c r="P11" s="10">
        <f t="shared" si="3"/>
        <v>4</v>
      </c>
    </row>
    <row r="12" spans="1:16">
      <c r="A12" s="7"/>
      <c r="B12" s="7" t="s">
        <v>63</v>
      </c>
      <c r="C12" s="7">
        <v>6</v>
      </c>
      <c r="D12" s="13" t="s">
        <v>64</v>
      </c>
      <c r="E12" s="13">
        <v>2</v>
      </c>
      <c r="F12" s="13">
        <v>2</v>
      </c>
      <c r="G12" s="13" t="s">
        <v>65</v>
      </c>
      <c r="H12" s="13" t="s">
        <v>146</v>
      </c>
      <c r="I12" s="9">
        <v>2</v>
      </c>
      <c r="J12" s="9">
        <v>2</v>
      </c>
      <c r="K12" s="9">
        <v>2</v>
      </c>
      <c r="L12" s="9">
        <v>2</v>
      </c>
      <c r="M12" s="10">
        <f t="shared" si="0"/>
        <v>2</v>
      </c>
      <c r="N12" s="10">
        <f t="shared" si="1"/>
        <v>2</v>
      </c>
      <c r="O12" s="10">
        <f t="shared" si="2"/>
        <v>2</v>
      </c>
      <c r="P12" s="10">
        <f t="shared" si="3"/>
        <v>2</v>
      </c>
    </row>
    <row r="13" spans="1:16">
      <c r="A13" s="7"/>
      <c r="B13" s="7"/>
      <c r="C13" s="7"/>
      <c r="D13" s="7" t="s">
        <v>68</v>
      </c>
      <c r="E13" s="7">
        <v>4</v>
      </c>
      <c r="F13" s="7">
        <v>4</v>
      </c>
      <c r="G13" s="7" t="s">
        <v>69</v>
      </c>
      <c r="H13" s="7" t="s">
        <v>70</v>
      </c>
      <c r="I13" s="9">
        <v>4</v>
      </c>
      <c r="J13" s="9">
        <v>4</v>
      </c>
      <c r="K13" s="9">
        <v>4</v>
      </c>
      <c r="L13" s="9">
        <v>4</v>
      </c>
      <c r="M13" s="10">
        <f t="shared" si="0"/>
        <v>4</v>
      </c>
      <c r="N13" s="10">
        <f t="shared" si="1"/>
        <v>4</v>
      </c>
      <c r="O13" s="10">
        <f t="shared" si="2"/>
        <v>4</v>
      </c>
      <c r="P13" s="10">
        <f t="shared" si="3"/>
        <v>4</v>
      </c>
    </row>
    <row r="14" spans="1:16">
      <c r="A14" s="7"/>
      <c r="B14" s="7" t="s">
        <v>71</v>
      </c>
      <c r="C14" s="7">
        <v>11</v>
      </c>
      <c r="D14" s="7" t="s">
        <v>72</v>
      </c>
      <c r="E14" s="7">
        <v>3</v>
      </c>
      <c r="F14" s="7">
        <v>3</v>
      </c>
      <c r="G14" s="7" t="s">
        <v>73</v>
      </c>
      <c r="H14" s="7" t="s">
        <v>74</v>
      </c>
      <c r="I14" s="9">
        <v>2.44</v>
      </c>
      <c r="J14" s="9">
        <v>2.68</v>
      </c>
      <c r="K14" s="9">
        <v>2.44</v>
      </c>
      <c r="L14" s="9">
        <v>2.68</v>
      </c>
      <c r="M14" s="10">
        <f t="shared" si="0"/>
        <v>2.44</v>
      </c>
      <c r="N14" s="10">
        <f t="shared" si="1"/>
        <v>2.68</v>
      </c>
      <c r="O14" s="10">
        <f t="shared" si="2"/>
        <v>2.44</v>
      </c>
      <c r="P14" s="10">
        <f t="shared" si="3"/>
        <v>2.68</v>
      </c>
    </row>
    <row r="15" spans="1:16">
      <c r="A15" s="7"/>
      <c r="B15" s="7"/>
      <c r="C15" s="7"/>
      <c r="D15" s="7" t="s">
        <v>76</v>
      </c>
      <c r="E15" s="7">
        <v>3</v>
      </c>
      <c r="F15" s="7">
        <v>3</v>
      </c>
      <c r="G15" s="7" t="s">
        <v>77</v>
      </c>
      <c r="H15" s="7" t="s">
        <v>78</v>
      </c>
      <c r="I15" s="9">
        <v>3</v>
      </c>
      <c r="J15" s="9">
        <v>0</v>
      </c>
      <c r="K15" s="9">
        <v>3</v>
      </c>
      <c r="L15" s="9">
        <v>0</v>
      </c>
      <c r="M15" s="10">
        <f t="shared" si="0"/>
        <v>3</v>
      </c>
      <c r="N15" s="10">
        <f t="shared" si="1"/>
        <v>0</v>
      </c>
      <c r="O15" s="10">
        <f t="shared" si="2"/>
        <v>3</v>
      </c>
      <c r="P15" s="10">
        <f t="shared" si="3"/>
        <v>0</v>
      </c>
    </row>
    <row r="16" spans="1:16">
      <c r="A16" s="7"/>
      <c r="B16" s="7"/>
      <c r="C16" s="7"/>
      <c r="D16" s="7" t="s">
        <v>79</v>
      </c>
      <c r="E16" s="7">
        <v>4</v>
      </c>
      <c r="F16" s="7">
        <v>2</v>
      </c>
      <c r="G16" s="7" t="s">
        <v>147</v>
      </c>
      <c r="H16" s="7" t="s">
        <v>81</v>
      </c>
      <c r="I16" s="9">
        <v>3.42</v>
      </c>
      <c r="J16" s="9">
        <v>3.3</v>
      </c>
      <c r="K16" s="9">
        <v>2.48</v>
      </c>
      <c r="L16" s="9">
        <v>2.22</v>
      </c>
      <c r="M16" s="10">
        <f t="shared" si="0"/>
        <v>1.71</v>
      </c>
      <c r="N16" s="10">
        <f t="shared" si="1"/>
        <v>1.65</v>
      </c>
      <c r="O16" s="10">
        <f t="shared" si="2"/>
        <v>1.24</v>
      </c>
      <c r="P16" s="10">
        <f t="shared" si="3"/>
        <v>1.11</v>
      </c>
    </row>
    <row r="17" spans="1:16">
      <c r="A17" s="7"/>
      <c r="B17" s="7"/>
      <c r="C17" s="7"/>
      <c r="D17" s="7" t="s">
        <v>82</v>
      </c>
      <c r="E17" s="7">
        <v>1</v>
      </c>
      <c r="F17" s="7">
        <v>1</v>
      </c>
      <c r="G17" s="7" t="s">
        <v>83</v>
      </c>
      <c r="H17" s="7" t="s">
        <v>84</v>
      </c>
      <c r="I17" s="9">
        <v>1</v>
      </c>
      <c r="J17" s="9">
        <v>1</v>
      </c>
      <c r="K17" s="9">
        <v>0.8</v>
      </c>
      <c r="L17" s="9">
        <v>1</v>
      </c>
      <c r="M17" s="10">
        <f t="shared" si="0"/>
        <v>1</v>
      </c>
      <c r="N17" s="10">
        <f t="shared" si="1"/>
        <v>1</v>
      </c>
      <c r="O17" s="10">
        <f t="shared" si="2"/>
        <v>0.8</v>
      </c>
      <c r="P17" s="10">
        <f t="shared" si="3"/>
        <v>1</v>
      </c>
    </row>
    <row r="18" spans="1:16">
      <c r="A18" s="7"/>
      <c r="B18" s="7" t="s">
        <v>85</v>
      </c>
      <c r="C18" s="7">
        <v>13</v>
      </c>
      <c r="D18" s="7" t="s">
        <v>86</v>
      </c>
      <c r="E18" s="7">
        <v>4</v>
      </c>
      <c r="F18" s="7">
        <v>4</v>
      </c>
      <c r="G18" s="7" t="s">
        <v>87</v>
      </c>
      <c r="H18" s="7" t="s">
        <v>88</v>
      </c>
      <c r="I18" s="9">
        <v>2.55071781595669</v>
      </c>
      <c r="J18" s="9">
        <v>3.62574213882577</v>
      </c>
      <c r="K18" s="9">
        <v>2.41065967671475</v>
      </c>
      <c r="L18" s="9">
        <v>2</v>
      </c>
      <c r="M18" s="10">
        <f t="shared" si="0"/>
        <v>2.55071781595669</v>
      </c>
      <c r="N18" s="10">
        <f t="shared" si="1"/>
        <v>3.62574213882577</v>
      </c>
      <c r="O18" s="10">
        <f t="shared" si="2"/>
        <v>2.41065967671475</v>
      </c>
      <c r="P18" s="10">
        <f t="shared" si="3"/>
        <v>2</v>
      </c>
    </row>
    <row r="19" spans="1:16">
      <c r="A19" s="7"/>
      <c r="B19" s="7"/>
      <c r="C19" s="7"/>
      <c r="D19" s="7" t="s">
        <v>89</v>
      </c>
      <c r="E19" s="7">
        <v>3</v>
      </c>
      <c r="F19" s="7">
        <v>3</v>
      </c>
      <c r="G19" s="13" t="s">
        <v>90</v>
      </c>
      <c r="H19" s="14" t="s">
        <v>91</v>
      </c>
      <c r="I19" s="9">
        <v>3</v>
      </c>
      <c r="J19" s="9">
        <v>3</v>
      </c>
      <c r="K19" s="9">
        <v>3</v>
      </c>
      <c r="L19" s="9">
        <v>3</v>
      </c>
      <c r="M19" s="10">
        <f t="shared" si="0"/>
        <v>3</v>
      </c>
      <c r="N19" s="10">
        <f t="shared" si="1"/>
        <v>3</v>
      </c>
      <c r="O19" s="10">
        <f t="shared" si="2"/>
        <v>3</v>
      </c>
      <c r="P19" s="10">
        <f t="shared" si="3"/>
        <v>3</v>
      </c>
    </row>
    <row r="20" spans="1:16">
      <c r="A20" s="7"/>
      <c r="B20" s="7"/>
      <c r="C20" s="7"/>
      <c r="D20" s="13" t="s">
        <v>92</v>
      </c>
      <c r="E20" s="13">
        <v>3</v>
      </c>
      <c r="F20" s="13">
        <v>3</v>
      </c>
      <c r="G20" s="13" t="s">
        <v>93</v>
      </c>
      <c r="H20" s="15" t="s">
        <v>148</v>
      </c>
      <c r="I20" s="9">
        <v>3</v>
      </c>
      <c r="J20" s="9">
        <v>3</v>
      </c>
      <c r="K20" s="9">
        <v>3</v>
      </c>
      <c r="L20" s="9">
        <v>3</v>
      </c>
      <c r="M20" s="10">
        <f t="shared" si="0"/>
        <v>3</v>
      </c>
      <c r="N20" s="10">
        <f t="shared" si="1"/>
        <v>3</v>
      </c>
      <c r="O20" s="10">
        <f t="shared" si="2"/>
        <v>3</v>
      </c>
      <c r="P20" s="10">
        <f t="shared" si="3"/>
        <v>3</v>
      </c>
    </row>
    <row r="21" spans="1:16">
      <c r="A21" s="7"/>
      <c r="B21" s="7"/>
      <c r="C21" s="7"/>
      <c r="D21" s="13"/>
      <c r="E21" s="13">
        <v>3</v>
      </c>
      <c r="F21" s="13">
        <v>2</v>
      </c>
      <c r="G21" s="13"/>
      <c r="H21" s="13" t="s">
        <v>95</v>
      </c>
      <c r="I21" s="9">
        <v>3</v>
      </c>
      <c r="J21" s="9">
        <v>2.59234076153711</v>
      </c>
      <c r="K21" s="9">
        <v>2.84691954293792</v>
      </c>
      <c r="L21" s="9">
        <v>2.54221095230777</v>
      </c>
      <c r="M21" s="10">
        <f t="shared" si="0"/>
        <v>2</v>
      </c>
      <c r="N21" s="10">
        <f t="shared" si="1"/>
        <v>1.72822717435807</v>
      </c>
      <c r="O21" s="10">
        <f t="shared" si="2"/>
        <v>1.89794636195861</v>
      </c>
      <c r="P21" s="10">
        <f t="shared" si="3"/>
        <v>1.69480730153851</v>
      </c>
    </row>
    <row r="22" spans="1:16">
      <c r="A22" s="8" t="s">
        <v>107</v>
      </c>
      <c r="B22" s="8" t="s">
        <v>107</v>
      </c>
      <c r="C22" s="8">
        <v>10</v>
      </c>
      <c r="D22" s="7" t="s">
        <v>108</v>
      </c>
      <c r="E22" s="7">
        <v>3</v>
      </c>
      <c r="F22" s="7">
        <v>3</v>
      </c>
      <c r="G22" s="13" t="s">
        <v>109</v>
      </c>
      <c r="H22" s="13" t="s">
        <v>110</v>
      </c>
      <c r="I22" s="9" t="s">
        <v>111</v>
      </c>
      <c r="J22" s="9" t="s">
        <v>111</v>
      </c>
      <c r="K22" s="9" t="s">
        <v>111</v>
      </c>
      <c r="L22" s="9" t="s">
        <v>111</v>
      </c>
      <c r="M22" s="10" t="s">
        <v>111</v>
      </c>
      <c r="N22" s="10" t="s">
        <v>111</v>
      </c>
      <c r="O22" s="10" t="s">
        <v>111</v>
      </c>
      <c r="P22" s="10" t="s">
        <v>111</v>
      </c>
    </row>
    <row r="23" spans="1:16">
      <c r="A23" s="11"/>
      <c r="B23" s="11"/>
      <c r="C23" s="11"/>
      <c r="D23" s="8" t="s">
        <v>112</v>
      </c>
      <c r="E23" s="8">
        <v>7</v>
      </c>
      <c r="F23" s="8">
        <v>7</v>
      </c>
      <c r="G23" s="16" t="s">
        <v>113</v>
      </c>
      <c r="H23" s="16" t="s">
        <v>114</v>
      </c>
      <c r="I23" s="9">
        <v>7</v>
      </c>
      <c r="J23" s="9">
        <v>7</v>
      </c>
      <c r="K23" s="9">
        <v>7</v>
      </c>
      <c r="L23" s="9">
        <v>7</v>
      </c>
      <c r="M23" s="10">
        <f t="shared" si="0"/>
        <v>7</v>
      </c>
      <c r="N23" s="10">
        <f t="shared" si="1"/>
        <v>7</v>
      </c>
      <c r="O23" s="10">
        <f t="shared" si="2"/>
        <v>7</v>
      </c>
      <c r="P23" s="10">
        <f t="shared" si="3"/>
        <v>7</v>
      </c>
    </row>
    <row r="24" spans="1:16">
      <c r="A24" s="17" t="s">
        <v>115</v>
      </c>
      <c r="B24" s="17" t="s">
        <v>115</v>
      </c>
      <c r="C24" s="17">
        <v>-3</v>
      </c>
      <c r="D24" s="17" t="s">
        <v>116</v>
      </c>
      <c r="E24" s="17">
        <v>2</v>
      </c>
      <c r="F24" s="17">
        <v>2</v>
      </c>
      <c r="G24" s="18" t="s">
        <v>117</v>
      </c>
      <c r="H24" s="18" t="s">
        <v>118</v>
      </c>
      <c r="I24" s="9">
        <v>0</v>
      </c>
      <c r="J24" s="9">
        <v>0</v>
      </c>
      <c r="K24" s="9">
        <v>0</v>
      </c>
      <c r="L24" s="9">
        <v>0</v>
      </c>
      <c r="M24" s="10">
        <f t="shared" si="0"/>
        <v>0</v>
      </c>
      <c r="N24" s="10">
        <f t="shared" si="1"/>
        <v>0</v>
      </c>
      <c r="O24" s="10">
        <f t="shared" si="2"/>
        <v>0</v>
      </c>
      <c r="P24" s="10">
        <f t="shared" si="3"/>
        <v>0</v>
      </c>
    </row>
    <row r="25" spans="1:16">
      <c r="A25" s="17"/>
      <c r="B25" s="17"/>
      <c r="C25" s="17"/>
      <c r="D25" s="17" t="s">
        <v>119</v>
      </c>
      <c r="E25" s="17">
        <v>-5</v>
      </c>
      <c r="F25" s="17">
        <v>-5</v>
      </c>
      <c r="G25" s="17" t="s">
        <v>120</v>
      </c>
      <c r="H25" s="17" t="s">
        <v>121</v>
      </c>
      <c r="I25" s="9">
        <v>0</v>
      </c>
      <c r="J25" s="9">
        <v>-0.8</v>
      </c>
      <c r="K25" s="9">
        <v>0</v>
      </c>
      <c r="L25" s="9">
        <v>0</v>
      </c>
      <c r="M25" s="10">
        <f t="shared" si="0"/>
        <v>0</v>
      </c>
      <c r="N25" s="10">
        <f t="shared" si="1"/>
        <v>-0.8</v>
      </c>
      <c r="O25" s="10">
        <f t="shared" si="2"/>
        <v>0</v>
      </c>
      <c r="P25" s="10">
        <f t="shared" si="3"/>
        <v>0</v>
      </c>
    </row>
    <row r="26" spans="1:16">
      <c r="A26" s="17"/>
      <c r="B26" s="17"/>
      <c r="C26" s="17"/>
      <c r="D26" s="17" t="s">
        <v>157</v>
      </c>
      <c r="E26" s="17" t="s">
        <v>111</v>
      </c>
      <c r="F26" s="17">
        <v>10</v>
      </c>
      <c r="G26" s="17"/>
      <c r="H26" s="17" t="s">
        <v>152</v>
      </c>
      <c r="M26" s="10">
        <v>10</v>
      </c>
      <c r="N26" s="10">
        <v>10</v>
      </c>
      <c r="O26" s="10">
        <v>10</v>
      </c>
      <c r="P26" s="10">
        <v>10</v>
      </c>
    </row>
    <row r="27" spans="1:16">
      <c r="A27" s="17" t="s">
        <v>122</v>
      </c>
      <c r="B27" s="17" t="s">
        <v>122</v>
      </c>
      <c r="C27" s="17" t="s">
        <v>123</v>
      </c>
      <c r="D27" s="17" t="s">
        <v>124</v>
      </c>
      <c r="E27" s="17" t="s">
        <v>123</v>
      </c>
      <c r="F27" s="17" t="s">
        <v>123</v>
      </c>
      <c r="G27" s="17"/>
      <c r="H27" s="19"/>
      <c r="M27" s="10">
        <v>0</v>
      </c>
      <c r="N27" s="10">
        <v>0</v>
      </c>
      <c r="O27" s="10">
        <v>0</v>
      </c>
      <c r="P27" s="10">
        <v>0</v>
      </c>
    </row>
    <row r="28" spans="1:16">
      <c r="A28" s="17" t="s">
        <v>125</v>
      </c>
      <c r="B28" s="17"/>
      <c r="C28" s="17"/>
      <c r="D28" s="17"/>
      <c r="E28" s="17"/>
      <c r="F28" s="17">
        <f>SUM(F2:F27)</f>
        <v>100</v>
      </c>
      <c r="G28" s="20"/>
      <c r="H28" s="20"/>
      <c r="M28" s="10">
        <f>SUM(M2:M27)</f>
        <v>95.5407178159567</v>
      </c>
      <c r="N28" s="10">
        <f>SUM(N2:N27)</f>
        <v>94.4839693131838</v>
      </c>
      <c r="O28" s="10">
        <f>SUM(O2:O27)</f>
        <v>92.0886060386734</v>
      </c>
      <c r="P28" s="10">
        <f>SUM(P2:P27)</f>
        <v>91.3248073015385</v>
      </c>
    </row>
    <row r="29" spans="1:16">
      <c r="A29" s="19"/>
      <c r="B29" s="19"/>
      <c r="C29" s="19"/>
      <c r="D29" s="19"/>
      <c r="E29" s="19"/>
      <c r="F29" s="19"/>
      <c r="G29" s="19"/>
      <c r="H29" s="19"/>
      <c r="M29" s="10">
        <f>M28/97*100</f>
        <v>98.4955853772749</v>
      </c>
      <c r="N29" s="10">
        <f>N28/97*100</f>
        <v>97.4061539311174</v>
      </c>
      <c r="O29" s="10">
        <f>O28/97*100</f>
        <v>94.9367072563643</v>
      </c>
      <c r="P29" s="10">
        <f>P28/97*100</f>
        <v>94.1492858778748</v>
      </c>
    </row>
  </sheetData>
  <mergeCells count="26">
    <mergeCell ref="A1:B1"/>
    <mergeCell ref="A28:D28"/>
    <mergeCell ref="A2:A9"/>
    <mergeCell ref="A10:A21"/>
    <mergeCell ref="A22:A23"/>
    <mergeCell ref="A24:A25"/>
    <mergeCell ref="B2:B3"/>
    <mergeCell ref="B4:B6"/>
    <mergeCell ref="B7:B9"/>
    <mergeCell ref="B12:B13"/>
    <mergeCell ref="B14:B17"/>
    <mergeCell ref="B18:B21"/>
    <mergeCell ref="B22:B23"/>
    <mergeCell ref="B24:B25"/>
    <mergeCell ref="C2:C3"/>
    <mergeCell ref="C4:C6"/>
    <mergeCell ref="C7:C9"/>
    <mergeCell ref="C12:C13"/>
    <mergeCell ref="C14:C17"/>
    <mergeCell ref="C18:C21"/>
    <mergeCell ref="C22:C23"/>
    <mergeCell ref="C24:C25"/>
    <mergeCell ref="D20:D21"/>
    <mergeCell ref="G4:G6"/>
    <mergeCell ref="G20:G21"/>
    <mergeCell ref="H4:H6"/>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4"/>
  <sheetViews>
    <sheetView workbookViewId="0">
      <selection activeCell="F23" sqref="F23"/>
    </sheetView>
  </sheetViews>
  <sheetFormatPr defaultColWidth="9" defaultRowHeight="15.6" outlineLevelCol="7"/>
  <cols>
    <col min="2" max="2" width="12.6287878787879"/>
  </cols>
  <sheetData>
    <row r="1" spans="1:8">
      <c r="A1" s="1" t="s">
        <v>158</v>
      </c>
      <c r="B1" s="1" t="s">
        <v>126</v>
      </c>
      <c r="C1" s="1" t="s">
        <v>159</v>
      </c>
      <c r="F1" s="1" t="s">
        <v>158</v>
      </c>
      <c r="G1" s="1" t="s">
        <v>126</v>
      </c>
      <c r="H1" s="1" t="s">
        <v>159</v>
      </c>
    </row>
    <row r="2" spans="1:8">
      <c r="A2" s="1" t="s">
        <v>12</v>
      </c>
      <c r="B2" s="2">
        <f>县!R32</f>
        <v>99.9381443298969</v>
      </c>
      <c r="C2" s="3">
        <f>RANK(B2,B$2:B414,0)</f>
        <v>1</v>
      </c>
      <c r="F2" s="1" t="s">
        <v>128</v>
      </c>
      <c r="G2" s="2">
        <f>B4</f>
        <v>93.6319806314591</v>
      </c>
      <c r="H2" s="3">
        <v>1</v>
      </c>
    </row>
    <row r="3" spans="1:8">
      <c r="A3" s="1" t="s">
        <v>10</v>
      </c>
      <c r="B3" s="2">
        <f>县!P32</f>
        <v>94.5893136287699</v>
      </c>
      <c r="C3" s="3">
        <f>RANK(B3,B$2:B415,0)</f>
        <v>5</v>
      </c>
      <c r="F3" s="1" t="s">
        <v>129</v>
      </c>
      <c r="G3" s="2">
        <f>B8</f>
        <v>90.8357122753408</v>
      </c>
      <c r="H3" s="3">
        <v>2</v>
      </c>
    </row>
    <row r="4" spans="1:8">
      <c r="A4" s="1" t="s">
        <v>128</v>
      </c>
      <c r="B4" s="2">
        <f>一部两中心!X32</f>
        <v>93.6319806314591</v>
      </c>
      <c r="C4" s="3">
        <f>RANK(B4,B$2:B416,0)</f>
        <v>8</v>
      </c>
      <c r="F4" s="1" t="s">
        <v>127</v>
      </c>
      <c r="G4" s="2">
        <f>B7</f>
        <v>89.2109777015437</v>
      </c>
      <c r="H4" s="3">
        <v>3</v>
      </c>
    </row>
    <row r="5" spans="1:8">
      <c r="A5" s="1" t="s">
        <v>9</v>
      </c>
      <c r="B5" s="2">
        <f>县!O32</f>
        <v>88.1747847680456</v>
      </c>
      <c r="C5" s="3">
        <f>RANK(B5,B$2:B417,0)</f>
        <v>12</v>
      </c>
    </row>
    <row r="6" spans="1:8">
      <c r="A6" s="1" t="s">
        <v>14</v>
      </c>
      <c r="B6" s="2">
        <f>县!T32</f>
        <v>94.5103092783505</v>
      </c>
      <c r="C6" s="3">
        <f>RANK(B6,B$2:B418,0)</f>
        <v>6</v>
      </c>
    </row>
    <row r="7" spans="1:8">
      <c r="A7" s="1" t="s">
        <v>127</v>
      </c>
      <c r="B7" s="2">
        <f>一部两中心!W31</f>
        <v>89.2109777015437</v>
      </c>
      <c r="C7" s="3">
        <f>RANK(B7,B$2:B419,0)</f>
        <v>11</v>
      </c>
    </row>
    <row r="8" spans="1:8">
      <c r="A8" s="1" t="s">
        <v>129</v>
      </c>
      <c r="B8" s="2">
        <f>一部两中心!AA31</f>
        <v>90.8357122753408</v>
      </c>
      <c r="C8" s="3">
        <f>RANK(B8,B$2:B420,0)</f>
        <v>10</v>
      </c>
    </row>
    <row r="9" spans="1:8">
      <c r="A9" s="1" t="s">
        <v>15</v>
      </c>
      <c r="B9" s="2">
        <f>区!M29</f>
        <v>98.4955853772749</v>
      </c>
      <c r="C9" s="3">
        <f>RANK(B9,B$2:B421,0)</f>
        <v>2</v>
      </c>
    </row>
    <row r="10" spans="1:8">
      <c r="A10" s="1" t="s">
        <v>13</v>
      </c>
      <c r="B10" s="2">
        <f>县!S32</f>
        <v>91.1372911903812</v>
      </c>
      <c r="C10" s="3">
        <f>RANK(B10,B$2:B422,0)</f>
        <v>9</v>
      </c>
    </row>
    <row r="11" spans="1:8">
      <c r="A11" s="1" t="s">
        <v>16</v>
      </c>
      <c r="B11" s="2">
        <f>区!N29</f>
        <v>97.4061539311174</v>
      </c>
      <c r="C11" s="3">
        <f>RANK(B11,B$2:B423,0)</f>
        <v>3</v>
      </c>
    </row>
    <row r="12" spans="1:8">
      <c r="A12" s="1" t="s">
        <v>11</v>
      </c>
      <c r="B12" s="2">
        <f>县!Q32</f>
        <v>85.5348076027242</v>
      </c>
      <c r="C12" s="3">
        <f>RANK(B12,B$2:B424,0)</f>
        <v>13</v>
      </c>
    </row>
    <row r="13" spans="1:8">
      <c r="A13" s="1" t="s">
        <v>17</v>
      </c>
      <c r="B13" s="2">
        <f>区!O29</f>
        <v>94.9367072563643</v>
      </c>
      <c r="C13" s="3">
        <f>RANK(B13,B$2:B425,0)</f>
        <v>4</v>
      </c>
    </row>
    <row r="14" spans="1:8">
      <c r="A14" s="1" t="s">
        <v>18</v>
      </c>
      <c r="B14" s="2">
        <f>区!P29</f>
        <v>94.1492858778748</v>
      </c>
      <c r="C14" s="3">
        <f>RANK(B14,B$2:B426,0)</f>
        <v>7</v>
      </c>
    </row>
  </sheetData>
  <autoFilter xmlns:etc="http://www.wps.cn/officeDocument/2017/etCustomData" ref="A1:E14" etc:filterBottomFollowUsedRange="0">
    <extLst/>
  </autoFilter>
  <sortState ref="F2:H4">
    <sortCondition ref="G2:G4" descending="1"/>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DingTalk</Application>
  <HeadingPairs>
    <vt:vector size="2" baseType="variant">
      <vt:variant>
        <vt:lpstr>工作表</vt:lpstr>
      </vt:variant>
      <vt:variant>
        <vt:i4>5</vt:i4>
      </vt:variant>
    </vt:vector>
  </HeadingPairs>
  <TitlesOfParts>
    <vt:vector size="5" baseType="lpstr">
      <vt:lpstr>6月</vt:lpstr>
      <vt:lpstr>一部两中心</vt:lpstr>
      <vt:lpstr>县</vt:lpstr>
      <vt:lpstr>区</vt:lpstr>
      <vt:lpstr>排名</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 </cp:lastModifiedBy>
  <dcterms:created xsi:type="dcterms:W3CDTF">2006-09-16T00:00:00Z</dcterms:created>
  <dcterms:modified xsi:type="dcterms:W3CDTF">2026-07-21T12:21:49Z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true</vt:bool>
  </property>
  <property fmtid="{D5CDD505-2E9C-101B-9397-08002B2CF9AE}" pid="3" name="ICV">
    <vt:lpwstr>A748854786D8491896E8895D8EC9E3C1_13</vt:lpwstr>
  </property>
  <property fmtid="{D5CDD505-2E9C-101B-9397-08002B2CF9AE}" pid="4" name="KSOProductBuildVer">
    <vt:lpwstr>2052-12.1.0.24657</vt:lpwstr>
  </property>
  <property fmtid="{D5CDD505-2E9C-101B-9397-08002B2CF9AE}" pid="5" name="CalculationRule">
    <vt:i4>0</vt:i4>
  </property>
</Properties>
</file>