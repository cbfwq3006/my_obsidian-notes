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60" activeTab="3"/>
  </bookViews>
  <sheets>
    <sheet name="汇总" sheetId="2" r:id="rId1"/>
    <sheet name="网络线" sheetId="1" r:id="rId2"/>
    <sheet name="客户感知提升先锋队" sheetId="3" r:id="rId3"/>
    <sheet name="网络安全先锋队" sheetId="4" r:id="rId4"/>
    <sheet name="智家暖心行动先锋队" sheetId="5" r:id="rId5"/>
  </sheets>
  <definedNames>
    <definedName name="_xlnm._FilterDatabase" localSheetId="0" hidden="1">汇总!$A$1:$B$14</definedName>
    <definedName name="_xlnm._FilterDatabase" localSheetId="2" hidden="1">客户感知提升先锋队!$A$1:$B$12</definedName>
    <definedName name="_xlnm._FilterDatabase" localSheetId="3" hidden="1">网络安全先锋队!$A$1:$B$12</definedName>
    <definedName name="_xlnm._FilterDatabase" localSheetId="4" hidden="1">智家暖心行动先锋队!$A$1:$B$12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<sst xmlns="http://schemas.openxmlformats.org/spreadsheetml/2006/main" count="167" uniqueCount="64">
  <si>
    <t>单位</t>
  </si>
  <si>
    <t>合计</t>
  </si>
  <si>
    <t>沁阳</t>
  </si>
  <si>
    <t>交付中心</t>
  </si>
  <si>
    <t>网络部</t>
  </si>
  <si>
    <t>修武县</t>
  </si>
  <si>
    <t>网络运营中心</t>
  </si>
  <si>
    <t>孟州</t>
  </si>
  <si>
    <t>温县</t>
  </si>
  <si>
    <t>博爱县</t>
  </si>
  <si>
    <t>山阳区</t>
  </si>
  <si>
    <t>解放区</t>
  </si>
  <si>
    <t>中站区</t>
  </si>
  <si>
    <t>马村区</t>
  </si>
  <si>
    <t>武陟县</t>
  </si>
  <si>
    <t>客户感知提升先锋队评分细则</t>
  </si>
  <si>
    <t>先锋队</t>
  </si>
  <si>
    <t>指标名称</t>
  </si>
  <si>
    <t>分值</t>
  </si>
  <si>
    <t>评分细则</t>
  </si>
  <si>
    <t>主管</t>
  </si>
  <si>
    <t>焦作</t>
  </si>
  <si>
    <t>客户感知提升先锋队</t>
  </si>
  <si>
    <t>TCSI移网网络满意度提升</t>
  </si>
  <si>
    <r>
      <rPr>
        <sz val="11"/>
        <color rgb="FF000000"/>
        <rFont val="微软雅黑"/>
        <charset val="134"/>
      </rPr>
      <t>一、当月满意度积分（满分5分）1.满意度得分超行业第一名且高于85分的积5分。2.当月满意度得分超行业均值，积1分。行业第一名积2分；满意度得分在78-85之间，0-3分线性积分。当月满意度得分低于78分，积0分；二、截至当前月全年累计满意度积分（满分5分）1.累计满意度得分超行业第一名且高于85分的积5分。2.累计满意度得分超行业均值，积1分。行业第一名积2分；满意度得分在78-85之间，0-3分线性积分。满意度得分低于78分，积0分；</t>
    </r>
    <r>
      <rPr>
        <sz val="11"/>
        <color rgb="FFFF0000"/>
        <rFont val="微软雅黑"/>
        <charset val="134"/>
      </rPr>
      <t>区县以低评占比法积分</t>
    </r>
  </si>
  <si>
    <t>雷坤</t>
  </si>
  <si>
    <t>移网网络实时评价满意度</t>
  </si>
  <si>
    <t>1.移网网络实时评价7分（不含）以下积0分。 2.移网网络实时评价7至8分（不含8分），0-3分线性积分。3.移网网络实时评价8（含）至8.6分5-10分线性积分；4.移网网络实时评价8.6分以上积10分。</t>
  </si>
  <si>
    <t>移网网络投诉压降及服务综合评价和建单率</t>
  </si>
  <si>
    <t>移网网络重复建单率,10分；移网网络服务综合评价率，10分；移网网络质量投诉率压降，10分；每项各10分，按照工匠行动打分；</t>
  </si>
  <si>
    <t>TCSI固网网络满意度提升</t>
  </si>
  <si>
    <r>
      <rPr>
        <sz val="11"/>
        <color rgb="FF000000"/>
        <rFont val="微软雅黑"/>
        <charset val="134"/>
      </rPr>
      <t>网络质量满意度得分高于85分的积30分，满意度得分在78-85之间，0-30分线性积分。当月满意度得分低于78分，积0分；</t>
    </r>
    <r>
      <rPr>
        <sz val="11"/>
        <color rgb="FFFF0000"/>
        <rFont val="微软雅黑"/>
        <charset val="134"/>
      </rPr>
      <t>区县以低评占比法积分</t>
    </r>
  </si>
  <si>
    <t>贾淑楠</t>
  </si>
  <si>
    <t>宽带网络实时评价满意度</t>
  </si>
  <si>
    <t>宽带网络实时评价7分以下积0分，7至8分（不含8分），0-6分线性积分，8（含）至8.6分10-20分线性积分，8.6分以上积20分。</t>
  </si>
  <si>
    <t>网络安全先锋队评分细则</t>
  </si>
  <si>
    <t>网络安全先锋队</t>
  </si>
  <si>
    <t>隐患管理入库</t>
  </si>
  <si>
    <t>1、通过日常故障、告警等信息发现隐患没有入库，按照重大3分/件，较大2分/件，一般1分/件，扣完为止。
2、通过省、市公司现场检查发现存在没入库隐患的，按照重大5分/件，较大3分/件，一般1分/件，扣完为止。
3、隐患未按要求整改闭环，每发生一件扣2分，扣完为止。
4、隐患录入不规范，每发现1件扣1分，扣完为止。</t>
  </si>
  <si>
    <t>薛培延</t>
  </si>
  <si>
    <t>持证上岗</t>
  </si>
  <si>
    <t>1、持证上岗率目标值100%，每低1PP，扣1分，扣完为止。
2、系统内外各级检查，发现实际从业人员与上报名单不符时，每发生一次扣本项分值的50%。</t>
  </si>
  <si>
    <t>故障管理</t>
  </si>
  <si>
    <t>1、小区退服考核目标值99.5%，每低1PP，扣1分，扣完为止。2、PON口退服考核目标值93%，每低1PP，扣1分，扣完为止。
3、故障处理及时率目标值100%，每低1PP，扣1分，扣完为止。4、每发生1次S级故障，扣15分，扣完为止。</t>
  </si>
  <si>
    <t>王宁/何建斌</t>
  </si>
  <si>
    <t>网络与信息安全</t>
  </si>
  <si>
    <t>1、每发生1次钓鱼邮件信息事件，扣2分，扣完为止。
2、每发生1次终端中毒情况，扣1分，扣完为止。
3、未及时完成网信安相关工作，1次2分，如果被省公司通报，1次扣5分，扣完为止。
4、因弱口令、账号口令、源代码等敏感信息泄露，未在工业和信息化部定级备案或未在集团资产管理平台报备(含报备信息有误)等原因被上级监管机构通报、集团公司通报、省公司通报一次扣20分，扣完为止。</t>
  </si>
  <si>
    <t>封舒琪/贾淑楠</t>
  </si>
  <si>
    <t>智家暖心行动先锋队评分细则</t>
  </si>
  <si>
    <t>智家暖心行动先锋队</t>
  </si>
  <si>
    <t>智家投诉压降</t>
  </si>
  <si>
    <t>智家工程师投诉率在0.3~0.7之间从0到30分线性得分，高于0.7得0分。</t>
  </si>
  <si>
    <t>装维动作规范性管控</t>
  </si>
  <si>
    <t>联系及时率在88%-92%之间按0-20之间线性得分，低于88%得0分。</t>
  </si>
  <si>
    <t>智家工程师实时评价</t>
  </si>
  <si>
    <t>实时评价参评率在95%-100%之间按0-20分线性积分，低于95%得0分。</t>
  </si>
  <si>
    <t>装维动作合格率</t>
  </si>
  <si>
    <t>装维动作合格率在88.5%-98.5%之间按0-30分线性积分，低于88.5%得0分。</t>
  </si>
  <si>
    <t>备注：网络部挂客户感知提升先锋队全市指标参评，网络运营中心挂网络安全先锋队全市指标参评，交付中心挂智家暖心行动先锋队全市指标参评。</t>
  </si>
  <si>
    <t>汇总</t>
  </si>
  <si>
    <t>区县</t>
  </si>
  <si>
    <t>排名</t>
  </si>
  <si>
    <t>山马</t>
  </si>
  <si>
    <t>解中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</si>
</sst>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9">
    <font>
      <sz val="12"/>
      <color theme="1"/>
      <name val="等线"/>
      <charset val="134"/>
      <scheme val="minor"/>
    </font>
    <font>
      <sz val="12"/>
      <color rgb="FF000000"/>
      <name val="等线"/>
      <charset val="134"/>
    </font>
    <font>
      <sz val="11"/>
      <color rgb="FF000000"/>
      <name val="微软雅黑"/>
      <charset val="134"/>
    </font>
    <font>
      <sz val="12"/>
      <color rgb="FF000000"/>
      <name val="微软雅黑"/>
      <charset val="134"/>
    </font>
    <font>
      <b/>
      <sz val="16"/>
      <color rgb="FF000000"/>
      <name val="微软雅黑"/>
      <charset val="134"/>
    </font>
    <font>
      <b/>
      <sz val="11"/>
      <color rgb="FF000000"/>
      <name val="微软雅黑"/>
      <charset val="134"/>
    </font>
    <font>
      <sz val="11"/>
      <color rgb="FF000000"/>
      <name val="Microsoft YaHei"/>
      <charset val="134"/>
    </font>
    <font>
      <sz val="10"/>
      <name val="Microsoft YaHei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FF0000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3" borderId="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2" borderId="2" xfId="0" applyFont="1" applyFill="1" applyBorder="1" applyAlignment="1" applyProtection="1">
      <alignment horizontal="center" vertical="center" wrapText="1"/>
    </xf>
    <xf numFmtId="0" fontId="2" fillId="0" borderId="3" xfId="0" applyFont="1" applyBorder="1" applyAlignment="1" applyProtection="1">
      <alignment horizontal="center" vertical="center" wrapText="1"/>
    </xf>
    <xf numFmtId="0" fontId="6" fillId="0" borderId="4" xfId="0" applyFont="1" applyBorder="1" applyAlignment="1" applyProtection="1">
      <alignment horizontal="center" vertical="center" wrapText="1"/>
    </xf>
    <xf numFmtId="0" fontId="2" fillId="0" borderId="5" xfId="0" applyFont="1" applyBorder="1" applyAlignment="1" applyProtection="1">
      <alignment horizontal="center" vertical="center" wrapText="1"/>
    </xf>
    <xf numFmtId="0" fontId="2" fillId="0" borderId="4" xfId="0" applyFont="1" applyBorder="1" applyAlignment="1" applyProtection="1">
      <alignment horizontal="justify" vertical="center" wrapText="1"/>
    </xf>
    <xf numFmtId="0" fontId="7" fillId="0" borderId="4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horizontal="center" vertical="center" wrapText="1"/>
    </xf>
    <xf numFmtId="0" fontId="2" fillId="0" borderId="4" xfId="0" applyFont="1" applyBorder="1" applyAlignment="1" applyProtection="1">
      <alignment horizontal="center" vertical="center" wrapText="1"/>
    </xf>
    <xf numFmtId="2" fontId="7" fillId="0" borderId="5" xfId="0" applyNumberFormat="1" applyFont="1" applyBorder="1" applyAlignment="1" applyProtection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justify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14"/>
  <sheetViews>
    <sheetView workbookViewId="0">
      <selection activeCell="D9" sqref="D9"/>
    </sheetView>
  </sheetViews>
  <sheetFormatPr defaultColWidth="9" defaultRowHeight="15.6" outlineLevelCol="1"/>
  <cols>
    <col min="1" max="1" width="13.75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4">
        <v>293.58</v>
      </c>
    </row>
    <row r="3" spans="1:2">
      <c r="A3" s="1" t="s">
        <v>3</v>
      </c>
      <c r="B3" s="1">
        <v>286.41</v>
      </c>
    </row>
    <row r="4" spans="1:2">
      <c r="A4" s="1" t="s">
        <v>4</v>
      </c>
      <c r="B4" s="1">
        <v>286.05</v>
      </c>
    </row>
    <row r="5" spans="1:2">
      <c r="A5" s="1" t="s">
        <v>5</v>
      </c>
      <c r="B5" s="4">
        <v>283.59</v>
      </c>
    </row>
    <row r="6" spans="1:2">
      <c r="A6" s="1" t="s">
        <v>6</v>
      </c>
      <c r="B6" s="1">
        <v>282.36</v>
      </c>
    </row>
    <row r="7" spans="1:2">
      <c r="A7" s="1" t="s">
        <v>7</v>
      </c>
      <c r="B7" s="4">
        <v>281.07</v>
      </c>
    </row>
    <row r="8" spans="1:2">
      <c r="A8" s="1" t="s">
        <v>8</v>
      </c>
      <c r="B8" s="4">
        <v>279.14</v>
      </c>
    </row>
    <row r="9" spans="1:2">
      <c r="A9" s="1" t="s">
        <v>9</v>
      </c>
      <c r="B9" s="4">
        <v>274.55</v>
      </c>
    </row>
    <row r="10" spans="1:2">
      <c r="A10" s="1" t="s">
        <v>10</v>
      </c>
      <c r="B10" s="4">
        <v>267.2</v>
      </c>
    </row>
    <row r="11" spans="1:2">
      <c r="A11" s="1" t="s">
        <v>11</v>
      </c>
      <c r="B11" s="4">
        <v>265.968965517</v>
      </c>
    </row>
    <row r="12" spans="1:2">
      <c r="A12" s="1" t="s">
        <v>12</v>
      </c>
      <c r="B12" s="4">
        <v>227.81</v>
      </c>
    </row>
    <row r="13" spans="1:2">
      <c r="A13" s="1" t="s">
        <v>13</v>
      </c>
      <c r="B13" s="4">
        <v>214.86</v>
      </c>
    </row>
    <row r="14" spans="1:2">
      <c r="A14" s="1" t="s">
        <v>14</v>
      </c>
      <c r="B14" s="4">
        <v>194.77</v>
      </c>
    </row>
  </sheetData>
  <autoFilter xmlns:etc="http://www.wps.cn/officeDocument/2017/etCustomData" ref="A1:B14" etc:filterBottomFollowUsedRange="0">
    <sortState ref="A1:B14">
      <sortCondition ref="B1" descending="1"/>
    </sortState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outlinePr summaryBelow="0" summaryRight="0"/>
  </sheetPr>
  <dimension ref="A1:Y26"/>
  <sheetViews>
    <sheetView topLeftCell="A10" workbookViewId="0">
      <selection activeCell="V13" sqref="V13"/>
    </sheetView>
  </sheetViews>
  <sheetFormatPr defaultColWidth="8.83333333333333" defaultRowHeight="14" customHeight="1"/>
  <cols>
    <col min="1" max="1" width="22.3333333333333" style="7" customWidth="1"/>
    <col min="2" max="2" width="24.8333333333333" style="7" customWidth="1"/>
    <col min="3" max="3" width="8.16666666666667" style="8" customWidth="1"/>
    <col min="4" max="4" width="64.4318181818182" style="7" customWidth="1"/>
    <col min="5" max="16" width="8.16666666666667" style="8" customWidth="1"/>
    <col min="17" max="25" width="8.83333333333333" style="8"/>
    <col min="26" max="27" width="8.83333333333333" style="6"/>
  </cols>
  <sheetData>
    <row r="1" s="6" customFormat="1" ht="33" customHeight="1" spans="1:25">
      <c r="A1" s="9" t="s">
        <v>15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8"/>
      <c r="R1" s="8"/>
      <c r="S1" s="8"/>
      <c r="T1" s="8"/>
      <c r="U1" s="8"/>
      <c r="V1" s="8"/>
      <c r="W1" s="8"/>
      <c r="X1" s="8"/>
      <c r="Y1" s="8"/>
    </row>
    <row r="2" s="6" customFormat="1" ht="33" customHeight="1" spans="1:25">
      <c r="A2" s="10" t="s">
        <v>16</v>
      </c>
      <c r="B2" s="10" t="s">
        <v>17</v>
      </c>
      <c r="C2" s="10" t="s">
        <v>18</v>
      </c>
      <c r="D2" s="10" t="s">
        <v>19</v>
      </c>
      <c r="E2" s="10" t="s">
        <v>20</v>
      </c>
      <c r="F2" s="10" t="s">
        <v>21</v>
      </c>
      <c r="G2" s="10" t="s">
        <v>5</v>
      </c>
      <c r="H2" s="10" t="s">
        <v>14</v>
      </c>
      <c r="I2" s="10" t="s">
        <v>9</v>
      </c>
      <c r="J2" s="10" t="s">
        <v>8</v>
      </c>
      <c r="K2" s="10" t="s">
        <v>2</v>
      </c>
      <c r="L2" s="10" t="s">
        <v>7</v>
      </c>
      <c r="M2" s="10" t="s">
        <v>11</v>
      </c>
      <c r="N2" s="10" t="s">
        <v>10</v>
      </c>
      <c r="O2" s="10" t="s">
        <v>13</v>
      </c>
      <c r="P2" s="10" t="s">
        <v>12</v>
      </c>
      <c r="Q2" s="8"/>
      <c r="R2" s="8"/>
      <c r="S2" s="8"/>
      <c r="T2" s="8"/>
      <c r="U2" s="8"/>
      <c r="V2" s="8"/>
      <c r="W2" s="8"/>
      <c r="X2" s="8"/>
      <c r="Y2" s="8"/>
    </row>
    <row r="3" s="6" customFormat="1" ht="70" customHeight="1" spans="1:25">
      <c r="A3" s="11" t="s">
        <v>22</v>
      </c>
      <c r="B3" s="12" t="s">
        <v>23</v>
      </c>
      <c r="C3" s="13">
        <v>10</v>
      </c>
      <c r="D3" s="14" t="s">
        <v>24</v>
      </c>
      <c r="E3" s="13" t="s">
        <v>25</v>
      </c>
      <c r="F3" s="15">
        <v>6.95</v>
      </c>
      <c r="G3" s="15">
        <v>8.28</v>
      </c>
      <c r="H3" s="15">
        <v>7.72</v>
      </c>
      <c r="I3" s="15">
        <v>5.96</v>
      </c>
      <c r="J3" s="15">
        <v>7.15</v>
      </c>
      <c r="K3" s="15">
        <v>7.08</v>
      </c>
      <c r="L3" s="15">
        <v>7.05</v>
      </c>
      <c r="M3" s="15">
        <v>7.36</v>
      </c>
      <c r="N3" s="15">
        <v>8.5</v>
      </c>
      <c r="O3" s="15">
        <v>8.04</v>
      </c>
      <c r="P3" s="15">
        <v>8.16</v>
      </c>
      <c r="Q3" s="8"/>
      <c r="R3" s="8"/>
      <c r="S3" s="8"/>
      <c r="T3" s="8"/>
      <c r="U3" s="8"/>
      <c r="V3" s="8"/>
      <c r="W3" s="8"/>
      <c r="X3" s="8"/>
      <c r="Y3" s="8"/>
    </row>
    <row r="4" s="6" customFormat="1" ht="52" customHeight="1" spans="1:25">
      <c r="A4" s="11"/>
      <c r="B4" s="12" t="s">
        <v>26</v>
      </c>
      <c r="C4" s="13">
        <v>10</v>
      </c>
      <c r="D4" s="14" t="s">
        <v>27</v>
      </c>
      <c r="E4" s="13" t="s">
        <v>25</v>
      </c>
      <c r="F4" s="16">
        <v>9.84</v>
      </c>
      <c r="G4" s="16">
        <v>10</v>
      </c>
      <c r="H4" s="16">
        <v>9.24</v>
      </c>
      <c r="I4" s="16">
        <v>8.36</v>
      </c>
      <c r="J4" s="16">
        <v>10</v>
      </c>
      <c r="K4" s="16">
        <v>9.5</v>
      </c>
      <c r="L4" s="16">
        <v>10</v>
      </c>
      <c r="M4" s="16">
        <v>9.17</v>
      </c>
      <c r="N4" s="16">
        <v>8.9</v>
      </c>
      <c r="O4" s="16">
        <v>4.85</v>
      </c>
      <c r="P4" s="16">
        <v>6.98</v>
      </c>
      <c r="Q4" s="8"/>
      <c r="R4" s="8"/>
      <c r="S4" s="8"/>
      <c r="T4" s="8"/>
      <c r="U4" s="8"/>
      <c r="V4" s="8"/>
      <c r="W4" s="8"/>
      <c r="X4" s="8"/>
      <c r="Y4" s="8"/>
    </row>
    <row r="5" s="6" customFormat="1" ht="37" customHeight="1" spans="1:25">
      <c r="A5" s="11"/>
      <c r="B5" s="12" t="s">
        <v>28</v>
      </c>
      <c r="C5" s="13">
        <v>30</v>
      </c>
      <c r="D5" s="14" t="s">
        <v>29</v>
      </c>
      <c r="E5" s="13" t="s">
        <v>25</v>
      </c>
      <c r="F5" s="16">
        <v>28.56</v>
      </c>
      <c r="G5" s="16">
        <v>28.14</v>
      </c>
      <c r="H5" s="16">
        <v>23.63</v>
      </c>
      <c r="I5" s="16">
        <v>28.44</v>
      </c>
      <c r="J5" s="16">
        <v>30</v>
      </c>
      <c r="K5" s="16">
        <v>30</v>
      </c>
      <c r="L5" s="16">
        <v>28.05</v>
      </c>
      <c r="M5" s="16">
        <v>25.93</v>
      </c>
      <c r="N5" s="16">
        <v>25.01</v>
      </c>
      <c r="O5" s="16">
        <v>29.81</v>
      </c>
      <c r="P5" s="16">
        <v>23.66</v>
      </c>
      <c r="Q5" s="8"/>
      <c r="R5" s="8"/>
      <c r="S5" s="8"/>
      <c r="T5" s="8"/>
      <c r="U5" s="8"/>
      <c r="V5" s="8"/>
      <c r="W5" s="8"/>
      <c r="X5" s="8"/>
      <c r="Y5" s="8"/>
    </row>
    <row r="6" s="6" customFormat="1" ht="37" customHeight="1" spans="1:25">
      <c r="A6" s="17"/>
      <c r="B6" s="12" t="s">
        <v>30</v>
      </c>
      <c r="C6" s="17">
        <v>30</v>
      </c>
      <c r="D6" s="14" t="s">
        <v>31</v>
      </c>
      <c r="E6" s="17" t="s">
        <v>32</v>
      </c>
      <c r="F6" s="16">
        <v>30</v>
      </c>
      <c r="G6" s="16">
        <v>23.4</v>
      </c>
      <c r="H6" s="16">
        <v>10.5</v>
      </c>
      <c r="I6" s="16">
        <v>16.35</v>
      </c>
      <c r="J6" s="16">
        <v>16.35</v>
      </c>
      <c r="K6" s="16">
        <v>30</v>
      </c>
      <c r="L6" s="16">
        <v>21.42</v>
      </c>
      <c r="M6" s="16">
        <v>23.4</v>
      </c>
      <c r="N6" s="16">
        <v>23.4</v>
      </c>
      <c r="O6" s="16">
        <v>10.5</v>
      </c>
      <c r="P6" s="16">
        <v>23.4</v>
      </c>
      <c r="Q6" s="8"/>
      <c r="R6" s="8"/>
      <c r="S6" s="8"/>
      <c r="T6" s="8"/>
      <c r="U6" s="8"/>
      <c r="V6" s="8"/>
      <c r="W6" s="8"/>
      <c r="X6" s="8"/>
      <c r="Y6" s="8"/>
    </row>
    <row r="7" s="6" customFormat="1" ht="40" customHeight="1" spans="1:25">
      <c r="A7" s="17"/>
      <c r="B7" s="12" t="s">
        <v>33</v>
      </c>
      <c r="C7" s="17">
        <v>20</v>
      </c>
      <c r="D7" s="14" t="s">
        <v>34</v>
      </c>
      <c r="E7" s="17" t="s">
        <v>32</v>
      </c>
      <c r="F7" s="16">
        <v>20</v>
      </c>
      <c r="G7" s="16">
        <v>20</v>
      </c>
      <c r="H7" s="16">
        <v>0</v>
      </c>
      <c r="I7" s="16">
        <v>20</v>
      </c>
      <c r="J7" s="16">
        <v>20</v>
      </c>
      <c r="K7" s="16">
        <v>20</v>
      </c>
      <c r="L7" s="16">
        <v>20</v>
      </c>
      <c r="M7" s="18">
        <v>2.068965517</v>
      </c>
      <c r="N7" s="16">
        <v>20</v>
      </c>
      <c r="O7" s="16">
        <v>0</v>
      </c>
      <c r="P7" s="16">
        <v>0</v>
      </c>
      <c r="Q7" s="8"/>
      <c r="R7" s="8"/>
      <c r="S7" s="8"/>
      <c r="T7" s="8"/>
      <c r="U7" s="8"/>
      <c r="V7" s="8"/>
      <c r="W7" s="8"/>
      <c r="X7" s="8"/>
      <c r="Y7" s="8"/>
    </row>
    <row r="8" s="6" customFormat="1" ht="19" customHeight="1" spans="1:25">
      <c r="A8" s="19"/>
      <c r="B8" s="19"/>
      <c r="C8" s="19"/>
      <c r="D8" s="20"/>
      <c r="E8" s="19" t="s">
        <v>1</v>
      </c>
      <c r="F8" s="19">
        <f>SUM(F3:F7)</f>
        <v>95.35</v>
      </c>
      <c r="G8" s="19">
        <f t="shared" ref="G8:P8" si="0">SUM(G3:G7)</f>
        <v>89.82</v>
      </c>
      <c r="H8" s="19">
        <f t="shared" si="0"/>
        <v>51.09</v>
      </c>
      <c r="I8" s="19">
        <f t="shared" si="0"/>
        <v>79.11</v>
      </c>
      <c r="J8" s="19">
        <f t="shared" si="0"/>
        <v>83.5</v>
      </c>
      <c r="K8" s="19">
        <f t="shared" si="0"/>
        <v>96.58</v>
      </c>
      <c r="L8" s="19">
        <f t="shared" si="0"/>
        <v>86.52</v>
      </c>
      <c r="M8" s="19">
        <f t="shared" si="0"/>
        <v>67.928965517</v>
      </c>
      <c r="N8" s="19">
        <f t="shared" si="0"/>
        <v>85.81</v>
      </c>
      <c r="O8" s="19">
        <f t="shared" si="0"/>
        <v>53.2</v>
      </c>
      <c r="P8" s="19">
        <f t="shared" si="0"/>
        <v>62.2</v>
      </c>
      <c r="Q8" s="8"/>
      <c r="R8" s="8"/>
      <c r="S8" s="8"/>
      <c r="T8" s="8"/>
      <c r="U8" s="8"/>
      <c r="V8" s="8"/>
      <c r="W8" s="8"/>
      <c r="X8" s="8"/>
      <c r="Y8" s="8"/>
    </row>
    <row r="9" s="6" customFormat="1" ht="22.5" customHeight="1" spans="1:25">
      <c r="A9" s="21" t="s">
        <v>35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8"/>
      <c r="R9" s="8"/>
      <c r="S9" s="8"/>
      <c r="T9" s="8"/>
      <c r="U9" s="8"/>
      <c r="V9" s="8"/>
      <c r="W9" s="8"/>
      <c r="X9" s="8"/>
      <c r="Y9" s="8"/>
    </row>
    <row r="10" s="6" customFormat="1" ht="29" customHeight="1" spans="1:25">
      <c r="A10" s="10" t="s">
        <v>16</v>
      </c>
      <c r="B10" s="10" t="s">
        <v>17</v>
      </c>
      <c r="C10" s="10" t="s">
        <v>18</v>
      </c>
      <c r="D10" s="10" t="s">
        <v>19</v>
      </c>
      <c r="E10" s="10" t="s">
        <v>20</v>
      </c>
      <c r="F10" s="10" t="s">
        <v>21</v>
      </c>
      <c r="G10" s="10" t="s">
        <v>5</v>
      </c>
      <c r="H10" s="10" t="s">
        <v>14</v>
      </c>
      <c r="I10" s="10" t="s">
        <v>9</v>
      </c>
      <c r="J10" s="10" t="s">
        <v>8</v>
      </c>
      <c r="K10" s="10" t="s">
        <v>2</v>
      </c>
      <c r="L10" s="10" t="s">
        <v>7</v>
      </c>
      <c r="M10" s="10" t="s">
        <v>11</v>
      </c>
      <c r="N10" s="10" t="s">
        <v>10</v>
      </c>
      <c r="O10" s="10" t="s">
        <v>13</v>
      </c>
      <c r="P10" s="10" t="s">
        <v>12</v>
      </c>
      <c r="Q10" s="8"/>
      <c r="R10" s="8"/>
      <c r="S10" s="8"/>
      <c r="T10" s="8"/>
      <c r="U10" s="8"/>
      <c r="V10" s="8"/>
      <c r="W10" s="8"/>
      <c r="X10" s="8"/>
      <c r="Y10" s="8"/>
    </row>
    <row r="11" s="6" customFormat="1" ht="66" customHeight="1" spans="1:25">
      <c r="A11" s="17" t="s">
        <v>36</v>
      </c>
      <c r="B11" s="17" t="s">
        <v>37</v>
      </c>
      <c r="C11" s="17">
        <v>20</v>
      </c>
      <c r="D11" s="14" t="s">
        <v>38</v>
      </c>
      <c r="E11" s="17" t="s">
        <v>39</v>
      </c>
      <c r="F11" s="17">
        <v>19</v>
      </c>
      <c r="G11" s="17">
        <v>20</v>
      </c>
      <c r="H11" s="17">
        <v>10</v>
      </c>
      <c r="I11" s="17">
        <v>20</v>
      </c>
      <c r="J11" s="17">
        <v>20</v>
      </c>
      <c r="K11" s="17">
        <v>20</v>
      </c>
      <c r="L11" s="17">
        <v>20</v>
      </c>
      <c r="M11" s="17">
        <v>20</v>
      </c>
      <c r="N11" s="17">
        <v>20</v>
      </c>
      <c r="O11" s="17">
        <v>20</v>
      </c>
      <c r="P11" s="17">
        <v>20</v>
      </c>
      <c r="Q11" s="8"/>
      <c r="R11" s="8"/>
      <c r="S11" s="8"/>
      <c r="T11" s="8"/>
      <c r="U11" s="8"/>
      <c r="V11" s="8"/>
      <c r="W11" s="8"/>
      <c r="X11" s="8"/>
      <c r="Y11" s="8"/>
    </row>
    <row r="12" s="6" customFormat="1" ht="33" customHeight="1" spans="1:25">
      <c r="A12" s="17"/>
      <c r="B12" s="17" t="s">
        <v>40</v>
      </c>
      <c r="C12" s="17">
        <v>20</v>
      </c>
      <c r="D12" s="14" t="s">
        <v>41</v>
      </c>
      <c r="E12" s="17" t="s">
        <v>39</v>
      </c>
      <c r="F12" s="17">
        <v>19</v>
      </c>
      <c r="G12" s="17">
        <v>19</v>
      </c>
      <c r="H12" s="17">
        <v>17</v>
      </c>
      <c r="I12" s="17">
        <v>20</v>
      </c>
      <c r="J12" s="17">
        <v>17</v>
      </c>
      <c r="K12" s="17">
        <v>20</v>
      </c>
      <c r="L12" s="17">
        <v>20</v>
      </c>
      <c r="M12" s="17">
        <v>20</v>
      </c>
      <c r="N12" s="17">
        <v>19</v>
      </c>
      <c r="O12" s="17">
        <v>20</v>
      </c>
      <c r="P12" s="17">
        <v>18</v>
      </c>
      <c r="Q12" s="8"/>
      <c r="R12" s="8"/>
      <c r="S12" s="8"/>
      <c r="T12" s="8"/>
      <c r="U12" s="8"/>
      <c r="V12" s="8"/>
      <c r="W12" s="8"/>
      <c r="X12" s="8"/>
      <c r="Y12" s="8"/>
    </row>
    <row r="13" s="6" customFormat="1" ht="49.5" customHeight="1" spans="1:25">
      <c r="A13" s="17"/>
      <c r="B13" s="17" t="s">
        <v>42</v>
      </c>
      <c r="C13" s="17">
        <v>30</v>
      </c>
      <c r="D13" s="14" t="s">
        <v>43</v>
      </c>
      <c r="E13" s="17" t="s">
        <v>44</v>
      </c>
      <c r="F13" s="17">
        <v>26.12</v>
      </c>
      <c r="G13" s="17">
        <v>29</v>
      </c>
      <c r="H13" s="17">
        <v>15</v>
      </c>
      <c r="I13" s="17">
        <v>29</v>
      </c>
      <c r="J13" s="17">
        <v>30</v>
      </c>
      <c r="K13" s="17">
        <v>27</v>
      </c>
      <c r="L13" s="17">
        <v>30</v>
      </c>
      <c r="M13" s="17">
        <v>30</v>
      </c>
      <c r="N13" s="17">
        <v>30</v>
      </c>
      <c r="O13" s="17">
        <v>30</v>
      </c>
      <c r="P13" s="17">
        <v>30</v>
      </c>
      <c r="Q13" s="8"/>
      <c r="R13" s="8"/>
      <c r="S13" s="8"/>
      <c r="T13" s="8"/>
      <c r="U13" s="8"/>
      <c r="V13" s="8"/>
      <c r="W13" s="8"/>
      <c r="X13" s="8"/>
      <c r="Y13" s="8"/>
    </row>
    <row r="14" s="6" customFormat="1" ht="82.5" customHeight="1" spans="1:25">
      <c r="A14" s="17"/>
      <c r="B14" s="17" t="s">
        <v>45</v>
      </c>
      <c r="C14" s="17">
        <v>30</v>
      </c>
      <c r="D14" s="14" t="s">
        <v>46</v>
      </c>
      <c r="E14" s="17" t="s">
        <v>47</v>
      </c>
      <c r="F14" s="17">
        <v>30</v>
      </c>
      <c r="G14" s="17">
        <v>30</v>
      </c>
      <c r="H14" s="17">
        <v>30</v>
      </c>
      <c r="I14" s="17">
        <v>30</v>
      </c>
      <c r="J14" s="17">
        <v>30</v>
      </c>
      <c r="K14" s="17">
        <v>30</v>
      </c>
      <c r="L14" s="17">
        <v>30</v>
      </c>
      <c r="M14" s="17">
        <v>30</v>
      </c>
      <c r="N14" s="17">
        <v>30</v>
      </c>
      <c r="O14" s="17">
        <v>30</v>
      </c>
      <c r="P14" s="17">
        <v>30</v>
      </c>
      <c r="Q14" s="8"/>
      <c r="R14" s="8"/>
      <c r="S14" s="8"/>
      <c r="T14" s="8"/>
      <c r="U14" s="8"/>
      <c r="V14" s="8"/>
      <c r="W14" s="8"/>
      <c r="X14" s="8"/>
      <c r="Y14" s="8"/>
    </row>
    <row r="15" s="6" customFormat="1" ht="16.5" customHeight="1" spans="1:25">
      <c r="A15" s="19"/>
      <c r="B15" s="19"/>
      <c r="C15" s="19"/>
      <c r="D15" s="20"/>
      <c r="E15" s="19" t="s">
        <v>1</v>
      </c>
      <c r="F15" s="19">
        <f>SUM(F11:F14)</f>
        <v>94.12</v>
      </c>
      <c r="G15" s="19">
        <f t="shared" ref="G15:P15" si="1">SUM(G11:G14)</f>
        <v>98</v>
      </c>
      <c r="H15" s="19">
        <f t="shared" si="1"/>
        <v>72</v>
      </c>
      <c r="I15" s="19">
        <f t="shared" si="1"/>
        <v>99</v>
      </c>
      <c r="J15" s="19">
        <f t="shared" si="1"/>
        <v>97</v>
      </c>
      <c r="K15" s="19">
        <f t="shared" si="1"/>
        <v>97</v>
      </c>
      <c r="L15" s="19">
        <f t="shared" si="1"/>
        <v>100</v>
      </c>
      <c r="M15" s="19">
        <f t="shared" si="1"/>
        <v>100</v>
      </c>
      <c r="N15" s="19">
        <f t="shared" si="1"/>
        <v>99</v>
      </c>
      <c r="O15" s="19">
        <f t="shared" si="1"/>
        <v>100</v>
      </c>
      <c r="P15" s="19">
        <f t="shared" si="1"/>
        <v>98</v>
      </c>
      <c r="Q15" s="8"/>
      <c r="R15" s="8"/>
      <c r="S15" s="8"/>
      <c r="T15" s="8"/>
      <c r="U15" s="8"/>
      <c r="V15" s="8"/>
      <c r="W15" s="8"/>
      <c r="X15" s="8"/>
      <c r="Y15" s="8"/>
    </row>
    <row r="16" s="6" customFormat="1" ht="31" customHeight="1" spans="1:25">
      <c r="A16" s="21" t="s">
        <v>48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8"/>
      <c r="R16" s="8"/>
      <c r="S16" s="8"/>
      <c r="T16" s="8"/>
      <c r="U16" s="8"/>
      <c r="V16" s="8"/>
      <c r="W16" s="8"/>
      <c r="X16" s="8"/>
      <c r="Y16" s="8"/>
    </row>
    <row r="17" s="6" customFormat="1" ht="31" customHeight="1" spans="1:25">
      <c r="A17" s="10" t="s">
        <v>16</v>
      </c>
      <c r="B17" s="10" t="s">
        <v>17</v>
      </c>
      <c r="C17" s="10" t="s">
        <v>18</v>
      </c>
      <c r="D17" s="10" t="s">
        <v>19</v>
      </c>
      <c r="E17" s="10" t="s">
        <v>20</v>
      </c>
      <c r="F17" s="10" t="s">
        <v>21</v>
      </c>
      <c r="G17" s="10" t="s">
        <v>5</v>
      </c>
      <c r="H17" s="10" t="s">
        <v>14</v>
      </c>
      <c r="I17" s="10" t="s">
        <v>9</v>
      </c>
      <c r="J17" s="10" t="s">
        <v>8</v>
      </c>
      <c r="K17" s="10" t="s">
        <v>2</v>
      </c>
      <c r="L17" s="10" t="s">
        <v>7</v>
      </c>
      <c r="M17" s="10" t="s">
        <v>11</v>
      </c>
      <c r="N17" s="10" t="s">
        <v>10</v>
      </c>
      <c r="O17" s="10" t="s">
        <v>13</v>
      </c>
      <c r="P17" s="10" t="s">
        <v>12</v>
      </c>
      <c r="Q17" s="8"/>
      <c r="R17" s="8"/>
      <c r="S17" s="8"/>
      <c r="T17" s="8"/>
      <c r="U17" s="8"/>
      <c r="V17" s="8"/>
      <c r="W17" s="8"/>
      <c r="X17" s="8"/>
      <c r="Y17" s="8"/>
    </row>
    <row r="18" s="6" customFormat="1" ht="29" customHeight="1" spans="1:25">
      <c r="A18" s="17" t="s">
        <v>49</v>
      </c>
      <c r="B18" s="17" t="s">
        <v>50</v>
      </c>
      <c r="C18" s="17">
        <v>30</v>
      </c>
      <c r="D18" s="14" t="s">
        <v>51</v>
      </c>
      <c r="E18" s="17" t="s">
        <v>32</v>
      </c>
      <c r="F18" s="17">
        <v>30</v>
      </c>
      <c r="G18" s="17">
        <v>30</v>
      </c>
      <c r="H18" s="17">
        <v>14.38</v>
      </c>
      <c r="I18" s="17">
        <v>30</v>
      </c>
      <c r="J18" s="17">
        <v>28.64</v>
      </c>
      <c r="K18" s="17">
        <v>30</v>
      </c>
      <c r="L18" s="17">
        <v>30</v>
      </c>
      <c r="M18" s="17">
        <v>30</v>
      </c>
      <c r="N18" s="17">
        <v>30</v>
      </c>
      <c r="O18" s="17">
        <v>0</v>
      </c>
      <c r="P18" s="17">
        <v>11.01</v>
      </c>
      <c r="Q18" s="8"/>
      <c r="R18" s="8"/>
      <c r="S18" s="8"/>
      <c r="T18" s="8"/>
      <c r="U18" s="8"/>
      <c r="V18" s="8"/>
      <c r="W18" s="8"/>
      <c r="X18" s="8"/>
      <c r="Y18" s="8"/>
    </row>
    <row r="19" s="6" customFormat="1" ht="39" customHeight="1" spans="1:25">
      <c r="A19" s="17"/>
      <c r="B19" s="17" t="s">
        <v>52</v>
      </c>
      <c r="C19" s="17">
        <v>20</v>
      </c>
      <c r="D19" s="14" t="s">
        <v>53</v>
      </c>
      <c r="E19" s="17" t="s">
        <v>32</v>
      </c>
      <c r="F19" s="17">
        <v>20</v>
      </c>
      <c r="G19" s="17">
        <v>20</v>
      </c>
      <c r="H19" s="17">
        <v>20</v>
      </c>
      <c r="I19" s="17">
        <v>20</v>
      </c>
      <c r="J19" s="17">
        <v>20</v>
      </c>
      <c r="K19" s="17">
        <v>20</v>
      </c>
      <c r="L19" s="17">
        <v>20</v>
      </c>
      <c r="M19" s="17">
        <v>20</v>
      </c>
      <c r="N19" s="17">
        <v>10</v>
      </c>
      <c r="O19" s="17">
        <v>20</v>
      </c>
      <c r="P19" s="17">
        <v>20</v>
      </c>
      <c r="Q19" s="8"/>
      <c r="R19" s="8"/>
      <c r="S19" s="8"/>
      <c r="T19" s="8"/>
      <c r="U19" s="8"/>
      <c r="V19" s="8"/>
      <c r="W19" s="8"/>
      <c r="X19" s="8"/>
      <c r="Y19" s="8"/>
    </row>
    <row r="20" s="6" customFormat="1" ht="30" customHeight="1" spans="1:25">
      <c r="A20" s="17"/>
      <c r="B20" s="17" t="s">
        <v>54</v>
      </c>
      <c r="C20" s="17">
        <v>20</v>
      </c>
      <c r="D20" s="14" t="s">
        <v>55</v>
      </c>
      <c r="E20" s="17" t="s">
        <v>32</v>
      </c>
      <c r="F20" s="17">
        <v>20</v>
      </c>
      <c r="G20" s="17">
        <v>20</v>
      </c>
      <c r="H20" s="17">
        <v>20</v>
      </c>
      <c r="I20" s="17">
        <v>20</v>
      </c>
      <c r="J20" s="17">
        <v>20</v>
      </c>
      <c r="K20" s="17">
        <v>20</v>
      </c>
      <c r="L20" s="17">
        <v>20</v>
      </c>
      <c r="M20" s="17">
        <v>20</v>
      </c>
      <c r="N20" s="17">
        <v>20</v>
      </c>
      <c r="O20" s="17">
        <v>20</v>
      </c>
      <c r="P20" s="17">
        <v>20</v>
      </c>
      <c r="Q20" s="8"/>
      <c r="R20" s="8"/>
      <c r="S20" s="8"/>
      <c r="T20" s="8"/>
      <c r="U20" s="8"/>
      <c r="V20" s="8"/>
      <c r="W20" s="8"/>
      <c r="X20" s="8"/>
      <c r="Y20" s="8"/>
    </row>
    <row r="21" s="6" customFormat="1" ht="24" customHeight="1" spans="1:25">
      <c r="A21" s="17"/>
      <c r="B21" s="17" t="s">
        <v>56</v>
      </c>
      <c r="C21" s="17">
        <v>30</v>
      </c>
      <c r="D21" s="14" t="s">
        <v>57</v>
      </c>
      <c r="E21" s="17" t="s">
        <v>32</v>
      </c>
      <c r="F21" s="17">
        <v>25.47</v>
      </c>
      <c r="G21" s="17">
        <v>25.77</v>
      </c>
      <c r="H21" s="17">
        <v>17.3</v>
      </c>
      <c r="I21" s="17">
        <v>26.44</v>
      </c>
      <c r="J21" s="17">
        <v>30</v>
      </c>
      <c r="K21" s="17">
        <v>30</v>
      </c>
      <c r="L21" s="17">
        <v>24.55</v>
      </c>
      <c r="M21" s="17">
        <v>28.04</v>
      </c>
      <c r="N21" s="17">
        <v>22.39</v>
      </c>
      <c r="O21" s="17">
        <v>21.66</v>
      </c>
      <c r="P21" s="17">
        <v>16.6</v>
      </c>
      <c r="Q21" s="8"/>
      <c r="R21" s="8"/>
      <c r="S21" s="8"/>
      <c r="T21" s="8"/>
      <c r="U21" s="8"/>
      <c r="V21" s="8"/>
      <c r="W21" s="8"/>
      <c r="X21" s="8"/>
      <c r="Y21" s="8"/>
    </row>
    <row r="22" customHeight="1" spans="1:25">
      <c r="E22" s="19" t="s">
        <v>1</v>
      </c>
      <c r="F22" s="22">
        <f>SUM(F18:F21)</f>
        <v>95.47</v>
      </c>
      <c r="G22" s="22">
        <f t="shared" ref="G22:P22" si="2">SUM(G18:G21)</f>
        <v>95.77</v>
      </c>
      <c r="H22" s="22">
        <f t="shared" si="2"/>
        <v>71.68</v>
      </c>
      <c r="I22" s="22">
        <f t="shared" si="2"/>
        <v>96.44</v>
      </c>
      <c r="J22" s="22">
        <f t="shared" si="2"/>
        <v>98.64</v>
      </c>
      <c r="K22" s="22">
        <f t="shared" si="2"/>
        <v>100</v>
      </c>
      <c r="L22" s="22">
        <f t="shared" si="2"/>
        <v>94.55</v>
      </c>
      <c r="M22" s="22">
        <f t="shared" si="2"/>
        <v>98.04</v>
      </c>
      <c r="N22" s="22">
        <f t="shared" si="2"/>
        <v>82.39</v>
      </c>
      <c r="O22" s="22">
        <f t="shared" si="2"/>
        <v>61.66</v>
      </c>
      <c r="P22" s="22">
        <f t="shared" si="2"/>
        <v>67.61</v>
      </c>
    </row>
    <row r="24" customHeight="1" spans="1:25">
      <c r="A24" s="7" t="s">
        <v>58</v>
      </c>
    </row>
    <row r="26" customHeight="1" spans="1:25">
      <c r="E26" s="22" t="s">
        <v>59</v>
      </c>
      <c r="F26" s="22">
        <f>F8+F15+F22</f>
        <v>284.94</v>
      </c>
      <c r="G26" s="22">
        <f t="shared" ref="G26:P26" si="3">G8+G15+G22</f>
        <v>283.59</v>
      </c>
      <c r="H26" s="22">
        <f t="shared" si="3"/>
        <v>194.77</v>
      </c>
      <c r="I26" s="22">
        <f t="shared" si="3"/>
        <v>274.55</v>
      </c>
      <c r="J26" s="22">
        <f t="shared" si="3"/>
        <v>279.14</v>
      </c>
      <c r="K26" s="22">
        <f t="shared" si="3"/>
        <v>293.58</v>
      </c>
      <c r="L26" s="22">
        <f t="shared" si="3"/>
        <v>281.07</v>
      </c>
      <c r="M26" s="22">
        <f t="shared" si="3"/>
        <v>265.968965517</v>
      </c>
      <c r="N26" s="22">
        <f t="shared" si="3"/>
        <v>267.2</v>
      </c>
      <c r="O26" s="22">
        <f t="shared" si="3"/>
        <v>214.86</v>
      </c>
      <c r="P26" s="22">
        <f t="shared" si="3"/>
        <v>227.81</v>
      </c>
    </row>
  </sheetData>
  <mergeCells count="6">
    <mergeCell ref="A1:E1"/>
    <mergeCell ref="A9:D9"/>
    <mergeCell ref="A16:D16"/>
    <mergeCell ref="A3:A7"/>
    <mergeCell ref="A11:A14"/>
    <mergeCell ref="A18:A2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C12"/>
  <sheetViews>
    <sheetView workbookViewId="0">
      <selection activeCell="A1" sqref="A1:C12"/>
    </sheetView>
  </sheetViews>
  <sheetFormatPr defaultColWidth="9" defaultRowHeight="15.6" outlineLevelCol="2"/>
  <cols>
    <col min="2" max="2" width="20.3787878787879" customWidth="1"/>
  </cols>
  <sheetData>
    <row r="1" spans="1:3">
      <c r="A1" s="1" t="s">
        <v>60</v>
      </c>
      <c r="B1" s="1" t="s">
        <v>22</v>
      </c>
      <c r="C1" s="1" t="s">
        <v>61</v>
      </c>
    </row>
    <row r="2" spans="1:3">
      <c r="A2" s="2" t="s">
        <v>2</v>
      </c>
      <c r="B2" s="3">
        <v>96.58</v>
      </c>
      <c r="C2" s="2">
        <f>RANK(B2,B:B,0)</f>
        <v>1</v>
      </c>
    </row>
    <row r="3" spans="1:3">
      <c r="A3" s="1" t="s">
        <v>4</v>
      </c>
      <c r="B3" s="1">
        <v>95.35</v>
      </c>
      <c r="C3" s="1">
        <f t="shared" ref="C3:C12" si="0">RANK(B3,B:B,0)</f>
        <v>2</v>
      </c>
    </row>
    <row r="4" spans="1:3">
      <c r="A4" s="1" t="s">
        <v>5</v>
      </c>
      <c r="B4" s="4">
        <v>89.82</v>
      </c>
      <c r="C4" s="1">
        <f t="shared" si="0"/>
        <v>3</v>
      </c>
    </row>
    <row r="5" spans="1:3">
      <c r="A5" s="1" t="s">
        <v>7</v>
      </c>
      <c r="B5" s="4">
        <v>86.52</v>
      </c>
      <c r="C5" s="1">
        <f t="shared" si="0"/>
        <v>4</v>
      </c>
    </row>
    <row r="6" spans="1:3">
      <c r="A6" s="1" t="s">
        <v>10</v>
      </c>
      <c r="B6" s="4">
        <v>85.81</v>
      </c>
      <c r="C6" s="1">
        <f t="shared" si="0"/>
        <v>5</v>
      </c>
    </row>
    <row r="7" spans="1:3">
      <c r="A7" s="1" t="s">
        <v>8</v>
      </c>
      <c r="B7" s="4">
        <v>83.5</v>
      </c>
      <c r="C7" s="1">
        <f t="shared" si="0"/>
        <v>6</v>
      </c>
    </row>
    <row r="8" spans="1:3">
      <c r="A8" s="1" t="s">
        <v>9</v>
      </c>
      <c r="B8" s="4">
        <v>79.11</v>
      </c>
      <c r="C8" s="1">
        <f t="shared" si="0"/>
        <v>7</v>
      </c>
    </row>
    <row r="9" spans="1:3">
      <c r="A9" s="1" t="s">
        <v>11</v>
      </c>
      <c r="B9" s="4">
        <v>67.928965517</v>
      </c>
      <c r="C9" s="1">
        <f t="shared" si="0"/>
        <v>8</v>
      </c>
    </row>
    <row r="10" spans="1:3">
      <c r="A10" s="1" t="s">
        <v>12</v>
      </c>
      <c r="B10" s="4">
        <v>62.2</v>
      </c>
      <c r="C10" s="1">
        <f t="shared" si="0"/>
        <v>9</v>
      </c>
    </row>
    <row r="11" spans="1:3">
      <c r="A11" s="1" t="s">
        <v>13</v>
      </c>
      <c r="B11" s="4">
        <v>53.2</v>
      </c>
      <c r="C11" s="1">
        <f t="shared" si="0"/>
        <v>10</v>
      </c>
    </row>
    <row r="12" spans="1:3">
      <c r="A12" s="1" t="s">
        <v>14</v>
      </c>
      <c r="B12" s="4">
        <v>51.09</v>
      </c>
      <c r="C12" s="1">
        <f t="shared" si="0"/>
        <v>11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G12"/>
  <sheetViews>
    <sheetView tabSelected="1" workbookViewId="0">
      <selection activeCell="E1" sqref="E1:G10"/>
    </sheetView>
  </sheetViews>
  <sheetFormatPr defaultColWidth="9" defaultRowHeight="15.6" outlineLevelCol="6"/>
  <cols>
    <col min="1" max="1" width="13.75" customWidth="1"/>
    <col min="2" max="2" width="16" customWidth="1"/>
    <col min="5" max="5" width="15.4545454545455" customWidth="1"/>
    <col min="6" max="6" width="13.8181818181818" customWidth="1"/>
  </cols>
  <sheetData>
    <row r="1" spans="1:7">
      <c r="A1" s="1" t="s">
        <v>60</v>
      </c>
      <c r="B1" s="1" t="s">
        <v>36</v>
      </c>
      <c r="C1" s="1" t="s">
        <v>61</v>
      </c>
      <c r="E1" s="1" t="s">
        <v>60</v>
      </c>
      <c r="F1" s="1" t="s">
        <v>36</v>
      </c>
      <c r="G1" s="1" t="s">
        <v>61</v>
      </c>
    </row>
    <row r="2" spans="1:7">
      <c r="A2" s="2" t="s">
        <v>7</v>
      </c>
      <c r="B2" s="3">
        <v>100</v>
      </c>
      <c r="C2" s="2">
        <f t="shared" ref="C2:C12" si="0">RANK(B2,B:B,0)</f>
        <v>1</v>
      </c>
      <c r="E2" s="2" t="s">
        <v>7</v>
      </c>
      <c r="F2" s="3">
        <v>100</v>
      </c>
      <c r="G2" s="2">
        <f t="shared" ref="G2:G10" si="1">RANK(F2,F:F,0)</f>
        <v>1</v>
      </c>
    </row>
    <row r="3" spans="1:7">
      <c r="A3" s="2" t="s">
        <v>11</v>
      </c>
      <c r="B3" s="3">
        <v>100</v>
      </c>
      <c r="C3" s="2">
        <f t="shared" si="0"/>
        <v>1</v>
      </c>
      <c r="E3" s="5" t="s">
        <v>62</v>
      </c>
      <c r="F3" s="5">
        <v>99.5</v>
      </c>
      <c r="G3" s="5">
        <v>2</v>
      </c>
    </row>
    <row r="4" spans="1:7">
      <c r="A4" s="2" t="s">
        <v>13</v>
      </c>
      <c r="B4" s="3">
        <v>100</v>
      </c>
      <c r="C4" s="2">
        <f t="shared" si="0"/>
        <v>1</v>
      </c>
      <c r="E4" s="5" t="s">
        <v>63</v>
      </c>
      <c r="F4" s="5">
        <v>99</v>
      </c>
      <c r="G4" s="5">
        <v>3</v>
      </c>
    </row>
    <row r="5" spans="1:7">
      <c r="A5" s="1" t="s">
        <v>9</v>
      </c>
      <c r="B5" s="4">
        <v>99</v>
      </c>
      <c r="C5" s="1">
        <f t="shared" si="0"/>
        <v>4</v>
      </c>
      <c r="E5" s="1" t="s">
        <v>9</v>
      </c>
      <c r="F5" s="4">
        <v>99</v>
      </c>
      <c r="G5" s="1">
        <f t="shared" si="1"/>
        <v>3</v>
      </c>
    </row>
    <row r="6" spans="1:7">
      <c r="A6" s="1" t="s">
        <v>10</v>
      </c>
      <c r="B6" s="4">
        <v>99</v>
      </c>
      <c r="C6" s="1">
        <f t="shared" si="0"/>
        <v>4</v>
      </c>
      <c r="E6" s="1" t="s">
        <v>5</v>
      </c>
      <c r="F6" s="4">
        <v>98</v>
      </c>
      <c r="G6" s="1">
        <f t="shared" si="1"/>
        <v>5</v>
      </c>
    </row>
    <row r="7" spans="1:7">
      <c r="A7" s="1" t="s">
        <v>5</v>
      </c>
      <c r="B7" s="4">
        <v>98</v>
      </c>
      <c r="C7" s="1">
        <f t="shared" si="0"/>
        <v>6</v>
      </c>
      <c r="E7" s="1" t="s">
        <v>8</v>
      </c>
      <c r="F7" s="4">
        <v>97</v>
      </c>
      <c r="G7" s="1">
        <f t="shared" si="1"/>
        <v>6</v>
      </c>
    </row>
    <row r="8" spans="1:7">
      <c r="A8" s="1" t="s">
        <v>12</v>
      </c>
      <c r="B8" s="4">
        <v>98</v>
      </c>
      <c r="C8" s="1">
        <f t="shared" si="0"/>
        <v>6</v>
      </c>
      <c r="E8" s="1" t="s">
        <v>2</v>
      </c>
      <c r="F8" s="4">
        <v>97</v>
      </c>
      <c r="G8" s="1">
        <f t="shared" si="1"/>
        <v>6</v>
      </c>
    </row>
    <row r="9" spans="1:7">
      <c r="A9" s="1" t="s">
        <v>8</v>
      </c>
      <c r="B9" s="4">
        <v>97</v>
      </c>
      <c r="C9" s="1">
        <f t="shared" si="0"/>
        <v>8</v>
      </c>
      <c r="E9" s="1" t="s">
        <v>6</v>
      </c>
      <c r="F9" s="1">
        <v>94.12</v>
      </c>
      <c r="G9" s="1">
        <f t="shared" si="1"/>
        <v>8</v>
      </c>
    </row>
    <row r="10" spans="1:7">
      <c r="A10" s="1" t="s">
        <v>2</v>
      </c>
      <c r="B10" s="4">
        <v>97</v>
      </c>
      <c r="C10" s="1">
        <f t="shared" si="0"/>
        <v>8</v>
      </c>
      <c r="E10" s="1" t="s">
        <v>14</v>
      </c>
      <c r="F10" s="4">
        <v>72</v>
      </c>
      <c r="G10" s="1">
        <f t="shared" si="1"/>
        <v>9</v>
      </c>
    </row>
    <row r="11" spans="1:7">
      <c r="A11" s="1" t="s">
        <v>6</v>
      </c>
      <c r="B11" s="1">
        <v>94.12</v>
      </c>
      <c r="C11" s="1">
        <f t="shared" si="0"/>
        <v>10</v>
      </c>
    </row>
    <row r="12" spans="1:7">
      <c r="A12" s="1" t="s">
        <v>14</v>
      </c>
      <c r="B12" s="4">
        <v>72</v>
      </c>
      <c r="C12" s="1">
        <f t="shared" si="0"/>
        <v>11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C12"/>
  <sheetViews>
    <sheetView workbookViewId="0">
      <selection activeCell="A1" sqref="A1:C12"/>
    </sheetView>
  </sheetViews>
  <sheetFormatPr defaultColWidth="9" defaultRowHeight="15.6" outlineLevelCol="2"/>
  <cols>
    <col min="2" max="2" width="20.3787878787879" customWidth="1"/>
  </cols>
  <sheetData>
    <row r="1" spans="1:3">
      <c r="A1" s="1" t="s">
        <v>60</v>
      </c>
      <c r="B1" s="1" t="s">
        <v>49</v>
      </c>
      <c r="C1" s="1" t="s">
        <v>61</v>
      </c>
    </row>
    <row r="2" spans="1:3">
      <c r="A2" s="2" t="s">
        <v>2</v>
      </c>
      <c r="B2" s="3">
        <v>100</v>
      </c>
      <c r="C2" s="2">
        <f t="shared" ref="C2:C12" si="0">RANK(B2,B:B,0)</f>
        <v>1</v>
      </c>
    </row>
    <row r="3" spans="1:3">
      <c r="A3" s="1" t="s">
        <v>8</v>
      </c>
      <c r="B3" s="4">
        <v>98.64</v>
      </c>
      <c r="C3" s="1">
        <f t="shared" si="0"/>
        <v>2</v>
      </c>
    </row>
    <row r="4" spans="1:3">
      <c r="A4" s="1" t="s">
        <v>11</v>
      </c>
      <c r="B4" s="4">
        <v>98.04</v>
      </c>
      <c r="C4" s="1">
        <f t="shared" si="0"/>
        <v>3</v>
      </c>
    </row>
    <row r="5" spans="1:3">
      <c r="A5" s="1" t="s">
        <v>9</v>
      </c>
      <c r="B5" s="4">
        <v>96.44</v>
      </c>
      <c r="C5" s="1">
        <f t="shared" si="0"/>
        <v>4</v>
      </c>
    </row>
    <row r="6" spans="1:3">
      <c r="A6" s="1" t="s">
        <v>5</v>
      </c>
      <c r="B6" s="4">
        <v>95.77</v>
      </c>
      <c r="C6" s="1">
        <f t="shared" si="0"/>
        <v>5</v>
      </c>
    </row>
    <row r="7" spans="1:3">
      <c r="A7" s="1" t="s">
        <v>3</v>
      </c>
      <c r="B7" s="1">
        <v>95.47</v>
      </c>
      <c r="C7" s="1">
        <f t="shared" si="0"/>
        <v>6</v>
      </c>
    </row>
    <row r="8" spans="1:3">
      <c r="A8" s="1" t="s">
        <v>7</v>
      </c>
      <c r="B8" s="4">
        <v>94.55</v>
      </c>
      <c r="C8" s="1">
        <f t="shared" si="0"/>
        <v>7</v>
      </c>
    </row>
    <row r="9" spans="1:3">
      <c r="A9" s="1" t="s">
        <v>10</v>
      </c>
      <c r="B9" s="4">
        <v>82.39</v>
      </c>
      <c r="C9" s="1">
        <f t="shared" si="0"/>
        <v>8</v>
      </c>
    </row>
    <row r="10" spans="1:3">
      <c r="A10" s="1" t="s">
        <v>14</v>
      </c>
      <c r="B10" s="4">
        <v>71.68</v>
      </c>
      <c r="C10" s="1">
        <f t="shared" si="0"/>
        <v>9</v>
      </c>
    </row>
    <row r="11" spans="1:3">
      <c r="A11" s="1" t="s">
        <v>12</v>
      </c>
      <c r="B11" s="4">
        <v>67.61</v>
      </c>
      <c r="C11" s="1">
        <f t="shared" si="0"/>
        <v>10</v>
      </c>
    </row>
    <row r="12" spans="1:3">
      <c r="A12" s="1" t="s">
        <v>13</v>
      </c>
      <c r="B12" s="4">
        <v>61.66</v>
      </c>
      <c r="C12" s="1">
        <f t="shared" si="0"/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汇总</vt:lpstr>
      <vt:lpstr>网络线</vt:lpstr>
      <vt:lpstr>客户感知提升先锋队</vt:lpstr>
      <vt:lpstr>网络安全先锋队</vt:lpstr>
      <vt:lpstr>智家暖心行动先锋队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 </cp:lastModifiedBy>
  <dcterms:created xsi:type="dcterms:W3CDTF">2006-09-16T00:00:00Z</dcterms:created>
  <dcterms:modified xsi:type="dcterms:W3CDTF">2026-07-24T09:17:44Z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0B9EC203DC894B5896A271E2952EB762_13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