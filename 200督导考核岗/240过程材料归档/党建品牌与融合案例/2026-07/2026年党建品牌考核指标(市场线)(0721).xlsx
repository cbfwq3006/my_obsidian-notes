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 activeTab="1"/>
  </bookViews>
  <sheets>
    <sheet name="市场线" sheetId="1" r:id="rId1"/>
    <sheet name="二季度考核结果" sheetId="2" r:id="rId2"/>
    <sheet name="政企线" sheetId="3" r:id="rId3"/>
    <sheet name="网络线" sheetId="4" r:id="rId4"/>
    <sheet name="职能线" sheetId="5" r:id="rId5"/>
    <sheet name="Sheet5" sheetId="6" r:id="rId6"/>
  </sheets>
  <definedNames>
    <definedName name="_xlnm._FilterDatabase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<sst xmlns="http://schemas.openxmlformats.org/spreadsheetml/2006/main" count="243" uniqueCount="150">
  <si>
    <t>2026年党建品牌活动得分规则（市场线）</t>
  </si>
  <si>
    <t>2026年党建品牌活动得分规则-区、县分公司</t>
  </si>
  <si>
    <t>专项活动</t>
  </si>
  <si>
    <t>考核指标</t>
  </si>
  <si>
    <t>考核原则</t>
  </si>
  <si>
    <t>权重</t>
  </si>
  <si>
    <t>联网业务“争3”
先锋工程</t>
  </si>
  <si>
    <t>强堡垒</t>
  </si>
  <si>
    <t>移宽增量收入</t>
  </si>
  <si>
    <t>考核移宽增量收入完成，以增幅3%为目标，线性得分，满分封顶。</t>
  </si>
  <si>
    <t>移宽存量收入</t>
  </si>
  <si>
    <t>考核移宽存量收保率，以94%为年度目标，完成目标得满分，每低1PP扣5分，扣完为止。</t>
  </si>
  <si>
    <t>树旗帜</t>
  </si>
  <si>
    <t>社区市场</t>
  </si>
  <si>
    <t>考核社区市场综合评价，综合得分大于70分得满分，每低10分扣1分，扣完为止。</t>
  </si>
  <si>
    <t>农村市场</t>
  </si>
  <si>
    <t>考核份额破局（不含解放），按照年度完成率排名，排名第一单位得满分，排名第二至第九依次扣0.25分。</t>
  </si>
  <si>
    <t>商户市场</t>
  </si>
  <si>
    <t>考核商户市场综合评价，综合得分大于70分得满分，每低10分扣1分，扣完为止。</t>
  </si>
  <si>
    <t>锻铁军</t>
  </si>
  <si>
    <t>营业员</t>
  </si>
  <si>
    <t>考核三支铁军队伍销售积分达标，达标率达到目标得满分，低于目标且最后得60%分，其他得（达标率/目标值*40%+60%）*分值。</t>
  </si>
  <si>
    <t/>
  </si>
  <si>
    <t>渠道经理</t>
  </si>
  <si>
    <t>智家工程师</t>
  </si>
  <si>
    <t>服务口碑“争3”
暖心工程</t>
  </si>
  <si>
    <t>优服务</t>
  </si>
  <si>
    <t>TCSI综合满意度</t>
  </si>
  <si>
    <t>TCSI综合满意度测评得分＞=84，本项不扣分；小于84分，每低1分扣2分，扣完为止（如本月无明细数据取上月，取固移网平均值）。</t>
  </si>
  <si>
    <t>服务工单综合评价</t>
  </si>
  <si>
    <t>评价率目标值96%，每低1个点扣2分，扣完为止。</t>
  </si>
  <si>
    <t>强合规</t>
  </si>
  <si>
    <t>工信部来量压降</t>
  </si>
  <si>
    <t>工信部来量压降分单位设置目标值（剔重），低于目标值得满分；每高于目标值1户扣2分，扣完为止。</t>
  </si>
  <si>
    <t>春雷服务工单投诉压降</t>
  </si>
  <si>
    <t>服务工单压降（本地投诉+10015）分单位设置目标值（2025年后四季度均值），低于目标值得满分；每高于目标值1个点扣2分，扣完为止。</t>
  </si>
  <si>
    <t>合计</t>
  </si>
  <si>
    <t>2026年党建品牌活动得分规则-市场部/客服部</t>
  </si>
  <si>
    <t>部门</t>
  </si>
  <si>
    <t>市场部</t>
  </si>
  <si>
    <t>联网收入同比排名</t>
  </si>
  <si>
    <t>收入累计排名全省第3得满分，每低1名扣5分</t>
  </si>
  <si>
    <t>客服部</t>
  </si>
  <si>
    <t>TCSI 综合满意度排名</t>
  </si>
  <si>
    <t>TCSI 综合满意度排名全省第3得满分，每低1名扣5分</t>
  </si>
  <si>
    <t>考核规则见市场线表</t>
  </si>
  <si>
    <t>单位</t>
  </si>
  <si>
    <t>社区市场
（解放7.5分）</t>
  </si>
  <si>
    <t>商户市场
（解放7.5分）</t>
  </si>
  <si>
    <t>农村市场（解放不考核）</t>
  </si>
  <si>
    <t>铁军达标</t>
  </si>
  <si>
    <t>客户服务</t>
  </si>
  <si>
    <t>排名</t>
  </si>
  <si>
    <t>目标</t>
  </si>
  <si>
    <t>完成值</t>
  </si>
  <si>
    <t>完成率</t>
  </si>
  <si>
    <t>得分</t>
  </si>
  <si>
    <t>拍照收入</t>
  </si>
  <si>
    <t>综合评价得分</t>
  </si>
  <si>
    <t>份额破局目标</t>
  </si>
  <si>
    <t>焦作市博爱县分公司</t>
  </si>
  <si>
    <t>博爱</t>
  </si>
  <si>
    <t>武陟</t>
  </si>
  <si>
    <t>焦作市孟州市分公司</t>
  </si>
  <si>
    <t>孟州</t>
  </si>
  <si>
    <t>沁阳</t>
  </si>
  <si>
    <t>焦作市沁阳市分公司</t>
  </si>
  <si>
    <t>温县</t>
  </si>
  <si>
    <t>焦作市温县分公司</t>
  </si>
  <si>
    <t>焦作市武陟县分公司</t>
  </si>
  <si>
    <t>焦作市修武县分公司</t>
  </si>
  <si>
    <t>修武</t>
  </si>
  <si>
    <t>焦作市中站区分公司</t>
  </si>
  <si>
    <t>中站</t>
  </si>
  <si>
    <t>解放</t>
  </si>
  <si>
    <t>焦作市马村区分公司</t>
  </si>
  <si>
    <t>马村</t>
  </si>
  <si>
    <t>山阳</t>
  </si>
  <si>
    <t>焦作市解放区分公司</t>
  </si>
  <si>
    <t>焦作市山阳区分公司</t>
  </si>
  <si>
    <t>焦作市分公司</t>
  </si>
  <si>
    <t>2026年党建品牌活动得分规则（政企线）</t>
  </si>
  <si>
    <t>指标</t>
  </si>
  <si>
    <t>分值</t>
  </si>
  <si>
    <t>评价规则</t>
  </si>
  <si>
    <t>应用部门</t>
  </si>
  <si>
    <t>大企业市场 “党旗领航・提质争先”</t>
  </si>
  <si>
    <t>大企业市场收入同比增幅</t>
  </si>
  <si>
    <t>同比增幅为正开始得分，同比增幅每超1个百分点，得2分，36分封顶。</t>
  </si>
  <si>
    <t>六县、中站、马村、企业中心、政企部</t>
  </si>
  <si>
    <t>TOP321客户联网收入同比增幅</t>
  </si>
  <si>
    <t>TOP321客户专线业务渗透率</t>
  </si>
  <si>
    <t>按照渗透率线性计分</t>
  </si>
  <si>
    <t>大企业标杆客户拓展完成率</t>
  </si>
  <si>
    <t>按照目标完成率线性计分，1.2倍封顶</t>
  </si>
  <si>
    <t>“党建引领・份额争先” 公开市场份额攻坚</t>
  </si>
  <si>
    <t>公开市场运营商中标份额</t>
  </si>
  <si>
    <t>目标为50%，
1.中标份额≥30%开始计分，按照目标完成率线性得分，最高得满分
2.有自研项目拓展给予1.1系数，最高得满分</t>
  </si>
  <si>
    <t>2026年党建品牌活动得分规则-政企部/政要中心/校园中心/创新中心</t>
  </si>
  <si>
    <t>政要中心/校园中心/创新中心/解放/山阳</t>
  </si>
  <si>
    <t>2026年党建品牌活动得分规则（网络线）</t>
  </si>
  <si>
    <t>创标杆</t>
  </si>
  <si>
    <t>工匠行动</t>
  </si>
  <si>
    <t>根据各单位的工匠行动得分排名得分，第一名得30分，最后一名得15分，县分按30-2.14*（名次-1），区分按30-0.47*（名次-1)</t>
  </si>
  <si>
    <t>固、移网TCSI满意度</t>
  </si>
  <si>
    <t>行业排名第一，得2分；行业排名第二，得1分。满意度70-81（不含81），1-2分线性积分。满意度的得分81分至84分之间，4-6分线性计分。等于84分积6分，高于84分，积8分，固移各占得分50%</t>
  </si>
  <si>
    <t>移网重点场景达标率</t>
  </si>
  <si>
    <t>重点场景达标率大于等于98%得满分，低于94%不得分，中间线性得分</t>
  </si>
  <si>
    <t>宽带故障率</t>
  </si>
  <si>
    <t>按月评价，每月总分10分。
一、PON口（6分）：
PON口超时工单占比≤1%，不扣分，＞1%，每超1单扣0.1分，扣完为止。
二、一二级（共4分）：
①工单量占一级分光器比（1分）：占比≤4%，得满分；4%＜占比≤6%（0.9-0分），线性得分；占比＞6%，0分；
②一二级间超时工单占比（3分）：占比≤6%，不扣分;占比&gt;6%，每超1单扣0.005分，扣完为止。</t>
  </si>
  <si>
    <t>护安全</t>
  </si>
  <si>
    <t>网络安全</t>
  </si>
  <si>
    <t>S级故障发生1例扣10分，锚点机房基础信息错误（以智慧运维数据系统为准），立行立改的隐患未整改，加扣5分</t>
  </si>
  <si>
    <t>网信安</t>
  </si>
  <si>
    <t>1、每发生1次钓鱼邮件信息事件，扣2分，扣完为止。
2、每发生1次终端中毒情况，扣1分，扣完为止。
3、未及时完成网信安相关工作，1次2分，如果被省公司通报，1次扣5分，扣完为止。
4、未及时完成资产备案，1次扣2分。
5、未及时完成漏洞扫描，”两高一弱“风险排查，1次扣2分。
6、发生网信安安全事件，1次扣10分。</t>
  </si>
  <si>
    <t>提质效</t>
  </si>
  <si>
    <t>绿网行动-移网</t>
  </si>
  <si>
    <t>根据各单位的基站配套焕新、天馈焕新、铁塔改自建整体进度进行排名评价，第一名得10分，最后一名得4分，中间线性得分，未达序时进度不得分</t>
  </si>
  <si>
    <t>绿网行动-线路</t>
  </si>
  <si>
    <t>根据各单位光缆网维护成本压降序时目标及进度，第一名得10分，最后一名得4分，中间线性得分，未达序时进度不得分</t>
  </si>
  <si>
    <t>绿网行动-动力</t>
  </si>
  <si>
    <t>根据各单位自有能耗压降序时目标及进度，第一名得10分，最后一名得4分，中间线性得分，未达序时进度不得分</t>
  </si>
  <si>
    <t>2026年党建品牌活动得分规则-网络部/网络运营中心/交付中心</t>
  </si>
  <si>
    <t>网络部</t>
  </si>
  <si>
    <t>工匠行动总体排名</t>
  </si>
  <si>
    <t>工匠行动整体累计排名全省第1得满分，每低1名扣5分</t>
  </si>
  <si>
    <t>网络运营中心</t>
  </si>
  <si>
    <t>专业线工匠行动总体排名</t>
  </si>
  <si>
    <t>专业线累计排名全省第1得满分，每低1名扣5分</t>
  </si>
  <si>
    <t>交付中心</t>
  </si>
  <si>
    <t>2026年党建品牌活动得分规则（职能线）</t>
  </si>
  <si>
    <t>党建重点工作</t>
  </si>
  <si>
    <t>落实基本培训制度</t>
  </si>
  <si>
    <t>研讨交流落实情况</t>
  </si>
  <si>
    <t>1.未按要求开展研讨交流1次扣0.5分
2.未按要求录入1次扣0.5分</t>
  </si>
  <si>
    <t>“五星”支部建设、“四强”支部建设</t>
  </si>
  <si>
    <t>执行省公司对地市的考核指标</t>
  </si>
  <si>
    <t>按照省公司文件要求执行</t>
  </si>
  <si>
    <t>“立足岗位做贡献 服务发展当先锋”主题实践活动</t>
  </si>
  <si>
    <t>1.深化“党员亮身份”活动情况
2.创建“党员先锋岗”情况
3.组建“党员先锋队”情况</t>
  </si>
  <si>
    <t>按照季度评分细则，每季度分数占5分</t>
  </si>
  <si>
    <t>党建信息</t>
  </si>
  <si>
    <t>1.党建信息数量
2.党建信息质量</t>
  </si>
  <si>
    <t>按照年度排名，1-10名满分；11-23名9.5分；24-28名9分。</t>
  </si>
  <si>
    <t>基层党支部两个清单落实情况</t>
  </si>
  <si>
    <t>1.党支部支委会年度议事决策清单落实情况
2.党支部支委会研究讨论党的建设事项清单落实情况</t>
  </si>
  <si>
    <t>未严格落实事项清单内容，1项扣0.1分</t>
  </si>
  <si>
    <t>提质增效</t>
  </si>
  <si>
    <t>指标说明</t>
  </si>
  <si>
    <t>月均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</si>
</sst>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  <numFmt numFmtId="178" formatCode="0.00_ "/>
  </numFmts>
  <fonts count="48">
    <font>
      <sz val="12"/>
      <color theme="1"/>
      <name val="等线"/>
      <charset val="134"/>
      <scheme val="minor"/>
    </font>
    <font>
      <b/>
      <sz val="10"/>
      <color rgb="FFFFFFFF"/>
      <name val="微软雅黑"/>
      <charset val="134"/>
    </font>
    <font>
      <sz val="10"/>
      <name val="等线"/>
      <charset val="134"/>
      <scheme val="minor"/>
    </font>
    <font>
      <sz val="12"/>
      <color rgb="FF000000"/>
      <name val="等线"/>
      <charset val="134"/>
    </font>
    <font>
      <b/>
      <sz val="10"/>
      <name val="微软雅黑"/>
      <charset val="134"/>
    </font>
    <font>
      <sz val="9"/>
      <name val="微软雅黑"/>
      <charset val="134"/>
    </font>
    <font>
      <sz val="10"/>
      <color theme="1"/>
      <name val="等线"/>
      <charset val="134"/>
      <scheme val="minor"/>
    </font>
    <font>
      <b/>
      <sz val="9"/>
      <name val="微软雅黑"/>
      <charset val="134"/>
    </font>
    <font>
      <sz val="14"/>
      <color rgb="FF000000"/>
      <name val="微软雅黑"/>
      <charset val="134"/>
    </font>
    <font>
      <sz val="11"/>
      <color rgb="FF000000"/>
      <name val="等线"/>
      <charset val="134"/>
    </font>
    <font>
      <b/>
      <sz val="12"/>
      <color rgb="FFFFFFFF"/>
      <name val="等线"/>
      <charset val="134"/>
    </font>
    <font>
      <sz val="11"/>
      <color rgb="FF000000"/>
      <name val="宋体"/>
      <charset val="134"/>
    </font>
    <font>
      <sz val="16"/>
      <color rgb="FF000000"/>
      <name val="微软雅黑"/>
      <charset val="134"/>
    </font>
    <font>
      <b/>
      <sz val="12"/>
      <color rgb="FFFFFFFF"/>
      <name val="微软雅黑"/>
      <charset val="134"/>
    </font>
    <font>
      <sz val="11"/>
      <color rgb="FF000000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等线"/>
      <charset val="134"/>
    </font>
    <font>
      <sz val="10"/>
      <color rgb="FF000000"/>
      <name val="Microsoft YaHei"/>
      <charset val="134"/>
    </font>
    <font>
      <sz val="10"/>
      <name val="Microsoft YaHei"/>
      <charset val="134"/>
    </font>
    <font>
      <sz val="10"/>
      <name val="default"/>
      <charset val="134"/>
    </font>
    <font>
      <b/>
      <sz val="10"/>
      <color rgb="FF00B050"/>
      <name val="Microsoft YaHei"/>
      <charset val="134"/>
    </font>
    <font>
      <sz val="11"/>
      <color rgb="FF000000"/>
      <name val="Microsoft YaHei"/>
      <charset val="134"/>
    </font>
    <font>
      <b/>
      <sz val="10"/>
      <color rgb="FFFF0000"/>
      <name val="Microsoft YaHei"/>
      <charset val="134"/>
    </font>
    <font>
      <sz val="10"/>
      <color rgb="FFFF0000"/>
      <name val="微软雅黑"/>
      <charset val="134"/>
    </font>
    <font>
      <b/>
      <sz val="10"/>
      <color rgb="FFFFFFFF"/>
      <name val="Microsoft YaHei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BFDFE"/>
        <bgColor indexed="64"/>
      </patternFill>
    </fill>
    <fill>
      <patternFill patternType="solid">
        <fgColor rgb="FFFFF7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100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10" borderId="1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1" borderId="14" applyNumberFormat="0" applyAlignment="0" applyProtection="0">
      <alignment vertical="center"/>
    </xf>
    <xf numFmtId="0" fontId="38" fillId="12" borderId="15" applyNumberFormat="0" applyAlignment="0" applyProtection="0">
      <alignment vertical="center"/>
    </xf>
    <xf numFmtId="0" fontId="39" fillId="12" borderId="14" applyNumberFormat="0" applyAlignment="0" applyProtection="0">
      <alignment vertical="center"/>
    </xf>
    <xf numFmtId="0" fontId="40" fillId="13" borderId="16" applyNumberFormat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0" borderId="2" xfId="0" applyFont="1" applyBorder="1" applyProtection="1">
      <alignment vertical="center"/>
    </xf>
    <xf numFmtId="0" fontId="2" fillId="0" borderId="3" xfId="0" applyFont="1" applyBorder="1" applyProtection="1">
      <alignment vertical="center"/>
    </xf>
    <xf numFmtId="0" fontId="1" fillId="2" borderId="4" xfId="0" applyFont="1" applyFill="1" applyBorder="1" applyAlignment="1" applyProtection="1">
      <alignment horizontal="center" vertical="center" wrapText="1"/>
    </xf>
    <xf numFmtId="0" fontId="2" fillId="0" borderId="5" xfId="0" applyFont="1" applyBorder="1" applyProtection="1">
      <alignment vertical="center"/>
    </xf>
    <xf numFmtId="0" fontId="2" fillId="0" borderId="6" xfId="0" applyFont="1" applyBorder="1" applyProtection="1">
      <alignment vertical="center"/>
    </xf>
    <xf numFmtId="0" fontId="3" fillId="0" borderId="0" xfId="0" applyFont="1" applyAlignment="1">
      <alignment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10" fontId="5" fillId="4" borderId="8" xfId="0" applyNumberFormat="1" applyFont="1" applyFill="1" applyBorder="1" applyAlignment="1" applyProtection="1">
      <alignment horizontal="center" vertical="center"/>
    </xf>
    <xf numFmtId="10" fontId="5" fillId="5" borderId="8" xfId="0" applyNumberFormat="1" applyFont="1" applyFill="1" applyBorder="1" applyAlignment="1" applyProtection="1">
      <alignment horizontal="center" vertical="center"/>
    </xf>
    <xf numFmtId="4" fontId="5" fillId="5" borderId="8" xfId="0" applyNumberFormat="1" applyFont="1" applyFill="1" applyBorder="1" applyAlignment="1" applyProtection="1">
      <alignment horizontal="center" vertical="center"/>
    </xf>
    <xf numFmtId="0" fontId="6" fillId="0" borderId="0" xfId="0" applyFont="1">
      <alignment vertical="center"/>
    </xf>
    <xf numFmtId="10" fontId="7" fillId="6" borderId="8" xfId="0" applyNumberFormat="1" applyFont="1" applyFill="1" applyBorder="1" applyAlignment="1" applyProtection="1">
      <alignment horizontal="center" vertical="center"/>
    </xf>
    <xf numFmtId="9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/>
    </xf>
    <xf numFmtId="0" fontId="9" fillId="0" borderId="8" xfId="0" applyFont="1" applyBorder="1" applyAlignment="1" applyProtection="1">
      <alignment horizontal="center" vertical="center" wrapText="1"/>
    </xf>
    <xf numFmtId="0" fontId="9" fillId="0" borderId="8" xfId="0" applyFont="1" applyBorder="1" applyProtection="1">
      <alignment vertical="center"/>
    </xf>
    <xf numFmtId="0" fontId="10" fillId="2" borderId="8" xfId="0" applyFont="1" applyFill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2" borderId="8" xfId="0" applyFont="1" applyFill="1" applyBorder="1" applyAlignment="1" applyProtection="1">
      <alignment horizontal="center" vertical="center" wrapText="1"/>
    </xf>
    <xf numFmtId="0" fontId="14" fillId="0" borderId="8" xfId="0" applyFont="1" applyBorder="1" applyAlignment="1" applyProtection="1">
      <alignment horizontal="center" vertical="center" wrapText="1"/>
    </xf>
    <xf numFmtId="0" fontId="14" fillId="0" borderId="7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0" fontId="14" fillId="0" borderId="9" xfId="0" applyFont="1" applyBorder="1" applyAlignment="1" applyProtection="1">
      <alignment horizontal="center" vertical="center" wrapText="1"/>
    </xf>
    <xf numFmtId="0" fontId="14" fillId="0" borderId="8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center" vertical="center"/>
    </xf>
    <xf numFmtId="0" fontId="13" fillId="2" borderId="8" xfId="0" applyFont="1" applyFill="1" applyBorder="1" applyAlignment="1" applyProtection="1">
      <alignment horizontal="center" vertical="center"/>
    </xf>
    <xf numFmtId="0" fontId="9" fillId="0" borderId="0" xfId="0" applyFont="1">
      <alignment vertical="center"/>
    </xf>
    <xf numFmtId="0" fontId="15" fillId="2" borderId="8" xfId="0" applyFont="1" applyFill="1" applyBorder="1" applyAlignment="1" applyProtection="1">
      <alignment horizontal="center" vertical="center"/>
    </xf>
    <xf numFmtId="0" fontId="16" fillId="0" borderId="8" xfId="0" applyFont="1" applyBorder="1" applyAlignment="1" applyProtection="1">
      <alignment horizontal="center" vertical="center"/>
    </xf>
    <xf numFmtId="0" fontId="16" fillId="0" borderId="8" xfId="0" applyFont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/>
    </xf>
    <xf numFmtId="0" fontId="17" fillId="0" borderId="8" xfId="0" applyFont="1" applyBorder="1" applyAlignment="1" applyProtection="1">
      <alignment horizontal="center" vertical="center"/>
    </xf>
    <xf numFmtId="0" fontId="17" fillId="0" borderId="8" xfId="0" applyFont="1" applyBorder="1" applyAlignment="1" applyProtection="1">
      <alignment horizontal="center" vertical="center" wrapText="1"/>
    </xf>
    <xf numFmtId="0" fontId="18" fillId="7" borderId="8" xfId="0" applyFont="1" applyFill="1" applyBorder="1" applyAlignment="1" applyProtection="1">
      <alignment horizontal="center" vertical="center" wrapText="1"/>
    </xf>
    <xf numFmtId="0" fontId="1" fillId="8" borderId="8" xfId="0" applyFont="1" applyFill="1" applyBorder="1" applyAlignment="1" applyProtection="1">
      <alignment horizontal="center" vertical="center" wrapText="1"/>
    </xf>
    <xf numFmtId="0" fontId="19" fillId="0" borderId="9" xfId="0" applyFont="1" applyBorder="1" applyProtection="1">
      <alignment vertical="center"/>
    </xf>
    <xf numFmtId="0" fontId="17" fillId="0" borderId="1" xfId="0" applyFont="1" applyBorder="1" applyAlignment="1" applyProtection="1">
      <alignment horizontal="center" vertical="center"/>
    </xf>
    <xf numFmtId="2" fontId="20" fillId="0" borderId="8" xfId="0" applyNumberFormat="1" applyFont="1" applyBorder="1" applyAlignment="1" applyProtection="1">
      <alignment horizontal="center" vertical="center"/>
    </xf>
    <xf numFmtId="2" fontId="21" fillId="0" borderId="8" xfId="0" applyNumberFormat="1" applyFont="1" applyBorder="1" applyAlignment="1" applyProtection="1">
      <alignment horizontal="center" vertical="center"/>
    </xf>
    <xf numFmtId="10" fontId="21" fillId="0" borderId="8" xfId="0" applyNumberFormat="1" applyFont="1" applyBorder="1" applyAlignment="1" applyProtection="1">
      <alignment horizontal="center" vertical="center"/>
    </xf>
    <xf numFmtId="4" fontId="20" fillId="0" borderId="8" xfId="0" applyNumberFormat="1" applyFont="1" applyBorder="1" applyAlignment="1" applyProtection="1">
      <alignment horizontal="center" vertical="center"/>
    </xf>
    <xf numFmtId="1" fontId="21" fillId="0" borderId="8" xfId="0" applyNumberFormat="1" applyFont="1" applyBorder="1" applyAlignment="1" applyProtection="1">
      <alignment horizontal="center" vertical="center"/>
    </xf>
    <xf numFmtId="176" fontId="21" fillId="0" borderId="8" xfId="0" applyNumberFormat="1" applyFont="1" applyBorder="1" applyAlignment="1" applyProtection="1">
      <alignment horizontal="center" vertical="center"/>
    </xf>
    <xf numFmtId="10" fontId="20" fillId="0" borderId="8" xfId="0" applyNumberFormat="1" applyFont="1" applyBorder="1" applyAlignment="1" applyProtection="1">
      <alignment horizontal="center" vertical="center"/>
    </xf>
    <xf numFmtId="0" fontId="22" fillId="0" borderId="8" xfId="0" applyFont="1" applyBorder="1" applyAlignment="1" applyProtection="1">
      <alignment horizontal="center" vertical="center"/>
    </xf>
    <xf numFmtId="0" fontId="21" fillId="0" borderId="1" xfId="0" applyFont="1" applyBorder="1" applyAlignment="1" applyProtection="1">
      <alignment horizontal="center" vertical="center" wrapText="1"/>
    </xf>
    <xf numFmtId="0" fontId="21" fillId="0" borderId="8" xfId="0" applyFont="1" applyBorder="1" applyAlignment="1" applyProtection="1">
      <alignment horizontal="center" vertical="center"/>
    </xf>
    <xf numFmtId="0" fontId="21" fillId="0" borderId="3" xfId="0" applyFont="1" applyBorder="1" applyAlignment="1" applyProtection="1">
      <alignment horizontal="center" vertical="center"/>
    </xf>
    <xf numFmtId="177" fontId="23" fillId="0" borderId="8" xfId="0" applyNumberFormat="1" applyFont="1" applyBorder="1" applyAlignment="1" applyProtection="1">
      <alignment horizontal="center" vertical="center"/>
    </xf>
    <xf numFmtId="2" fontId="24" fillId="0" borderId="2" xfId="0" applyNumberFormat="1" applyFont="1" applyBorder="1" applyAlignment="1" applyProtection="1">
      <alignment horizontal="center" vertical="center"/>
    </xf>
    <xf numFmtId="0" fontId="20" fillId="0" borderId="3" xfId="0" applyFont="1" applyBorder="1" applyAlignment="1" applyProtection="1">
      <alignment horizontal="center" vertical="center"/>
    </xf>
    <xf numFmtId="0" fontId="20" fillId="0" borderId="8" xfId="0" applyFont="1" applyBorder="1" applyAlignment="1" applyProtection="1">
      <alignment horizontal="center" vertical="center"/>
    </xf>
    <xf numFmtId="2" fontId="17" fillId="7" borderId="8" xfId="0" applyNumberFormat="1" applyFont="1" applyFill="1" applyBorder="1" applyAlignment="1" applyProtection="1">
      <alignment horizontal="center" vertical="center"/>
    </xf>
    <xf numFmtId="177" fontId="25" fillId="0" borderId="8" xfId="0" applyNumberFormat="1" applyFont="1" applyBorder="1" applyAlignment="1" applyProtection="1">
      <alignment horizontal="center" vertical="center"/>
    </xf>
    <xf numFmtId="0" fontId="21" fillId="0" borderId="1" xfId="0" applyFont="1" applyBorder="1" applyAlignment="1" applyProtection="1">
      <alignment horizontal="center" vertical="center"/>
    </xf>
    <xf numFmtId="177" fontId="21" fillId="0" borderId="8" xfId="0" applyNumberFormat="1" applyFont="1" applyBorder="1" applyAlignment="1" applyProtection="1">
      <alignment horizontal="center" vertical="center"/>
    </xf>
    <xf numFmtId="2" fontId="26" fillId="7" borderId="8" xfId="0" applyNumberFormat="1" applyFont="1" applyFill="1" applyBorder="1" applyAlignment="1" applyProtection="1">
      <alignment horizontal="center" vertical="center"/>
    </xf>
    <xf numFmtId="0" fontId="26" fillId="0" borderId="8" xfId="0" applyFont="1" applyBorder="1" applyAlignment="1" applyProtection="1">
      <alignment horizontal="center" vertical="center"/>
    </xf>
    <xf numFmtId="0" fontId="26" fillId="0" borderId="1" xfId="0" applyFont="1" applyBorder="1" applyAlignment="1" applyProtection="1">
      <alignment horizontal="center" vertical="center"/>
    </xf>
    <xf numFmtId="1" fontId="1" fillId="2" borderId="1" xfId="0" applyNumberFormat="1" applyFont="1" applyFill="1" applyBorder="1" applyAlignment="1" applyProtection="1">
      <alignment horizontal="center" vertical="center"/>
    </xf>
    <xf numFmtId="2" fontId="27" fillId="9" borderId="8" xfId="0" applyNumberFormat="1" applyFont="1" applyFill="1" applyBorder="1" applyAlignment="1" applyProtection="1">
      <alignment horizontal="center" vertical="center"/>
    </xf>
    <xf numFmtId="10" fontId="27" fillId="9" borderId="8" xfId="0" applyNumberFormat="1" applyFont="1" applyFill="1" applyBorder="1" applyAlignment="1" applyProtection="1">
      <alignment horizontal="center" vertical="center"/>
    </xf>
    <xf numFmtId="1" fontId="27" fillId="9" borderId="8" xfId="0" applyNumberFormat="1" applyFont="1" applyFill="1" applyBorder="1" applyAlignment="1" applyProtection="1">
      <alignment horizontal="center" vertical="center"/>
    </xf>
    <xf numFmtId="176" fontId="27" fillId="9" borderId="8" xfId="0" applyNumberFormat="1" applyFont="1" applyFill="1" applyBorder="1" applyAlignment="1" applyProtection="1">
      <alignment horizontal="center" vertical="center"/>
    </xf>
    <xf numFmtId="2" fontId="27" fillId="2" borderId="9" xfId="0" applyNumberFormat="1" applyFont="1" applyFill="1" applyBorder="1" applyAlignment="1" applyProtection="1">
      <alignment horizontal="center" vertical="center"/>
    </xf>
    <xf numFmtId="0" fontId="27" fillId="2" borderId="8" xfId="0" applyFont="1" applyFill="1" applyBorder="1" applyAlignment="1" applyProtection="1">
      <alignment horizontal="center" vertical="center"/>
    </xf>
    <xf numFmtId="177" fontId="27" fillId="2" borderId="8" xfId="0" applyNumberFormat="1" applyFont="1" applyFill="1" applyBorder="1" applyAlignment="1" applyProtection="1">
      <alignment horizontal="center" vertical="center"/>
    </xf>
    <xf numFmtId="1" fontId="27" fillId="2" borderId="8" xfId="0" applyNumberFormat="1" applyFont="1" applyFill="1" applyBorder="1" applyAlignment="1" applyProtection="1">
      <alignment horizontal="center" vertical="center"/>
    </xf>
    <xf numFmtId="1" fontId="1" fillId="2" borderId="8" xfId="0" applyNumberFormat="1" applyFont="1" applyFill="1" applyBorder="1" applyAlignment="1" applyProtection="1">
      <alignment horizontal="center" vertical="center"/>
    </xf>
    <xf numFmtId="0" fontId="2" fillId="0" borderId="0" xfId="0" applyFont="1">
      <alignment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8" xfId="0" applyFont="1" applyBorder="1" applyAlignment="1" applyProtection="1">
      <alignment horizontal="left" vertical="center" wrapText="1"/>
    </xf>
    <xf numFmtId="0" fontId="17" fillId="0" borderId="7" xfId="0" applyFont="1" applyBorder="1" applyAlignment="1" applyProtection="1">
      <alignment horizontal="left" vertical="center" wrapText="1"/>
    </xf>
    <xf numFmtId="0" fontId="19" fillId="0" borderId="10" xfId="0" applyFont="1" applyBorder="1" applyAlignment="1" applyProtection="1">
      <alignment horizontal="left" vertical="center"/>
    </xf>
    <xf numFmtId="0" fontId="19" fillId="0" borderId="0" xfId="0" applyFont="1">
      <alignment vertical="center"/>
    </xf>
    <xf numFmtId="0" fontId="19" fillId="0" borderId="9" xfId="0" applyFont="1" applyBorder="1" applyAlignment="1" applyProtection="1">
      <alignment horizontal="left" vertical="center"/>
    </xf>
    <xf numFmtId="0" fontId="17" fillId="0" borderId="7" xfId="0" applyFont="1" applyBorder="1" applyAlignment="1" applyProtection="1">
      <alignment horizontal="center" vertical="center"/>
    </xf>
    <xf numFmtId="0" fontId="17" fillId="0" borderId="9" xfId="0" applyFont="1" applyBorder="1" applyAlignment="1" applyProtection="1">
      <alignment horizontal="center" vertical="center"/>
    </xf>
    <xf numFmtId="0" fontId="16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3"/>
  <sheetViews>
    <sheetView workbookViewId="0">
      <selection activeCell="E4" sqref="E4:E11"/>
    </sheetView>
  </sheetViews>
  <sheetFormatPr defaultColWidth="9" defaultRowHeight="13.5" customHeight="1" outlineLevelCol="5"/>
  <cols>
    <col min="1" max="1" width="17.5" style="17" customWidth="1"/>
    <col min="2" max="2" width="11.1666666666667" style="28" customWidth="1"/>
    <col min="3" max="3" width="17.6666666666667" style="28" customWidth="1"/>
    <col min="4" max="4" width="79.3333333333333" style="28" customWidth="1"/>
    <col min="5" max="5" width="8.5" style="28" customWidth="1"/>
    <col min="6" max="6" width="8.5" style="17" customWidth="1"/>
  </cols>
  <sheetData>
    <row r="1" ht="36" customHeight="1" spans="1:6">
      <c r="A1" s="84" t="s">
        <v>0</v>
      </c>
      <c r="B1" s="84"/>
      <c r="C1" s="84"/>
      <c r="D1" s="84"/>
      <c r="E1" s="84"/>
    </row>
    <row r="2" ht="36" customHeight="1" spans="1:6">
      <c r="A2" s="22" t="s">
        <v>1</v>
      </c>
      <c r="B2" s="22"/>
      <c r="C2" s="22"/>
      <c r="D2" s="22"/>
      <c r="E2" s="22"/>
    </row>
    <row r="3" ht="18" customHeight="1" spans="1:6">
      <c r="A3" s="44" t="s">
        <v>2</v>
      </c>
      <c r="B3" s="44"/>
      <c r="C3" s="44" t="s">
        <v>3</v>
      </c>
      <c r="D3" s="44" t="s">
        <v>4</v>
      </c>
      <c r="E3" s="44" t="s">
        <v>5</v>
      </c>
    </row>
    <row r="4" ht="18" customHeight="1" spans="1:6">
      <c r="A4" s="44" t="s">
        <v>6</v>
      </c>
      <c r="B4" s="44" t="s">
        <v>7</v>
      </c>
      <c r="C4" s="44" t="s">
        <v>8</v>
      </c>
      <c r="D4" s="85" t="s">
        <v>9</v>
      </c>
      <c r="E4" s="44">
        <v>15</v>
      </c>
    </row>
    <row r="5" ht="18" customHeight="1" spans="1:6">
      <c r="A5" s="44"/>
      <c r="B5" s="44"/>
      <c r="C5" s="44" t="s">
        <v>10</v>
      </c>
      <c r="D5" s="85" t="s">
        <v>11</v>
      </c>
      <c r="E5" s="44">
        <v>15</v>
      </c>
    </row>
    <row r="6" ht="18" customHeight="1" spans="1:6">
      <c r="A6" s="44"/>
      <c r="B6" s="44" t="s">
        <v>12</v>
      </c>
      <c r="C6" s="44" t="s">
        <v>13</v>
      </c>
      <c r="D6" s="85" t="s">
        <v>14</v>
      </c>
      <c r="E6" s="44">
        <v>5</v>
      </c>
    </row>
    <row r="7" ht="18" customHeight="1" spans="1:6">
      <c r="A7" s="44"/>
      <c r="B7" s="44"/>
      <c r="C7" s="44" t="s">
        <v>15</v>
      </c>
      <c r="D7" s="85" t="s">
        <v>16</v>
      </c>
      <c r="E7" s="44">
        <v>5</v>
      </c>
    </row>
    <row r="8" ht="18" customHeight="1" spans="1:6">
      <c r="A8" s="44"/>
      <c r="B8" s="44"/>
      <c r="C8" s="44" t="s">
        <v>17</v>
      </c>
      <c r="D8" s="85" t="s">
        <v>18</v>
      </c>
      <c r="E8" s="44">
        <v>5</v>
      </c>
    </row>
    <row r="9" ht="18" customHeight="1" spans="1:6">
      <c r="A9" s="44"/>
      <c r="B9" s="44" t="s">
        <v>19</v>
      </c>
      <c r="C9" s="44" t="s">
        <v>20</v>
      </c>
      <c r="D9" s="86" t="s">
        <v>21</v>
      </c>
      <c r="E9" s="44">
        <v>5</v>
      </c>
      <c r="F9" s="17" t="s">
        <v>22</v>
      </c>
    </row>
    <row r="10" ht="18" customHeight="1" spans="1:6">
      <c r="A10" s="44"/>
      <c r="B10" s="44"/>
      <c r="C10" s="44" t="s">
        <v>23</v>
      </c>
      <c r="D10" s="87"/>
      <c r="E10" s="44">
        <v>5</v>
      </c>
      <c r="F10" s="88"/>
    </row>
    <row r="11" ht="18" customHeight="1" spans="1:6">
      <c r="A11" s="44"/>
      <c r="B11" s="44"/>
      <c r="C11" s="44" t="s">
        <v>24</v>
      </c>
      <c r="D11" s="89"/>
      <c r="E11" s="44">
        <v>5</v>
      </c>
      <c r="F11" s="88"/>
    </row>
    <row r="12" ht="36" customHeight="1" spans="1:6">
      <c r="A12" s="44" t="s">
        <v>25</v>
      </c>
      <c r="B12" s="90" t="s">
        <v>26</v>
      </c>
      <c r="C12" s="43" t="s">
        <v>27</v>
      </c>
      <c r="D12" s="85" t="s">
        <v>28</v>
      </c>
      <c r="E12" s="43">
        <v>10</v>
      </c>
    </row>
    <row r="13" ht="18" customHeight="1" spans="1:6">
      <c r="A13" s="44"/>
      <c r="B13" s="91"/>
      <c r="C13" s="43" t="s">
        <v>29</v>
      </c>
      <c r="D13" s="85" t="s">
        <v>30</v>
      </c>
      <c r="E13" s="43">
        <v>10</v>
      </c>
    </row>
    <row r="14" ht="18" customHeight="1" spans="1:6">
      <c r="A14" s="44"/>
      <c r="B14" s="90" t="s">
        <v>31</v>
      </c>
      <c r="C14" s="43" t="s">
        <v>32</v>
      </c>
      <c r="D14" s="85" t="s">
        <v>33</v>
      </c>
      <c r="E14" s="43">
        <v>10</v>
      </c>
    </row>
    <row r="15" ht="36" customHeight="1" spans="1:6">
      <c r="A15" s="44"/>
      <c r="B15" s="91"/>
      <c r="C15" s="44" t="s">
        <v>34</v>
      </c>
      <c r="D15" s="85" t="s">
        <v>35</v>
      </c>
      <c r="E15" s="43">
        <v>10</v>
      </c>
    </row>
    <row r="16" ht="18" customHeight="1" spans="1:6">
      <c r="A16" s="22" t="s">
        <v>36</v>
      </c>
      <c r="B16" s="22"/>
      <c r="C16" s="22"/>
      <c r="D16" s="22"/>
      <c r="E16" s="42">
        <f>SUM(E4:E15)</f>
        <v>100</v>
      </c>
    </row>
    <row r="17" customHeight="1" spans="1:5">
      <c r="A17" s="92"/>
    </row>
    <row r="18" customHeight="1" spans="1:5">
      <c r="A18" s="92"/>
    </row>
    <row r="20" ht="23" customHeight="1" spans="1:5">
      <c r="B20" s="42" t="s">
        <v>37</v>
      </c>
      <c r="C20" s="42"/>
      <c r="D20" s="42"/>
      <c r="E20" s="42"/>
    </row>
    <row r="21" ht="18" customHeight="1" spans="1:5">
      <c r="B21" s="43" t="s">
        <v>38</v>
      </c>
      <c r="C21" s="43" t="s">
        <v>3</v>
      </c>
      <c r="D21" s="43" t="s">
        <v>4</v>
      </c>
      <c r="E21" s="43" t="s">
        <v>5</v>
      </c>
    </row>
    <row r="22" ht="18" customHeight="1" spans="1:5">
      <c r="B22" s="43" t="s">
        <v>39</v>
      </c>
      <c r="C22" s="43" t="s">
        <v>40</v>
      </c>
      <c r="D22" s="43" t="s">
        <v>41</v>
      </c>
      <c r="E22" s="43">
        <v>100</v>
      </c>
    </row>
    <row r="23" ht="18" customHeight="1" spans="1:5">
      <c r="B23" s="43" t="s">
        <v>42</v>
      </c>
      <c r="C23" s="43" t="s">
        <v>43</v>
      </c>
      <c r="D23" s="43" t="s">
        <v>44</v>
      </c>
      <c r="E23" s="43">
        <v>100</v>
      </c>
    </row>
  </sheetData>
  <mergeCells count="14">
    <mergeCell ref="A1:E1"/>
    <mergeCell ref="A2:E2"/>
    <mergeCell ref="A3:B3"/>
    <mergeCell ref="A16:D16"/>
    <mergeCell ref="B20:E20"/>
    <mergeCell ref="A4:A11"/>
    <mergeCell ref="A12:A15"/>
    <mergeCell ref="B4:B5"/>
    <mergeCell ref="B6:B8"/>
    <mergeCell ref="B9:B11"/>
    <mergeCell ref="B12:B13"/>
    <mergeCell ref="B14:B15"/>
    <mergeCell ref="D9:D11"/>
    <mergeCell ref="F9:F1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16"/>
  <sheetViews>
    <sheetView tabSelected="1" topLeftCell="I1" workbookViewId="0">
      <selection activeCell="AA6" sqref="AA6:AC6"/>
    </sheetView>
  </sheetViews>
  <sheetFormatPr defaultColWidth="9" defaultRowHeight="15.75" customHeight="1"/>
  <cols>
    <col min="1" max="1" width="16.6666666666667" style="17" customWidth="1"/>
    <col min="2" max="2" width="6" style="17" customWidth="1"/>
    <col min="3" max="3" width="7.6" style="17"/>
    <col min="4" max="4" width="8.61666666666667" style="17"/>
    <col min="5" max="5" width="7.5" style="17" customWidth="1"/>
    <col min="6" max="6" width="6" style="17" customWidth="1"/>
    <col min="7" max="7" width="8.83333333333333" style="17" customWidth="1"/>
    <col min="8" max="9" width="7" style="17"/>
    <col min="10" max="10" width="9" style="17" customWidth="1"/>
    <col min="11" max="11" width="8" style="17"/>
    <col min="12" max="17" width="6" style="17" customWidth="1"/>
    <col min="18" max="18" width="6.29166666666667" style="17" customWidth="1"/>
    <col min="19" max="25" width="6" style="17" customWidth="1"/>
    <col min="26" max="26" width="8.25" style="17" customWidth="1"/>
    <col min="27" max="27" width="9.66666666666667" style="17" customWidth="1"/>
    <col min="32" max="32" width="6.625" customWidth="1"/>
    <col min="33" max="35" width="6.75" customWidth="1"/>
  </cols>
  <sheetData>
    <row r="1" ht="42" customHeight="1" spans="1:35">
      <c r="A1" s="45" t="s">
        <v>45</v>
      </c>
      <c r="B1" s="22" t="s">
        <v>46</v>
      </c>
      <c r="C1" s="22" t="s">
        <v>8</v>
      </c>
      <c r="D1" s="22"/>
      <c r="E1" s="22"/>
      <c r="F1" s="22"/>
      <c r="G1" s="22" t="s">
        <v>10</v>
      </c>
      <c r="H1" s="22"/>
      <c r="I1" s="22"/>
      <c r="J1" s="22"/>
      <c r="K1" s="22"/>
      <c r="L1" s="46" t="s">
        <v>47</v>
      </c>
      <c r="M1" s="46"/>
      <c r="N1" s="46" t="s">
        <v>48</v>
      </c>
      <c r="O1" s="46"/>
      <c r="P1" s="46" t="s">
        <v>49</v>
      </c>
      <c r="Q1" s="46"/>
      <c r="R1" s="46"/>
      <c r="S1" s="46"/>
      <c r="T1" s="42" t="s">
        <v>50</v>
      </c>
      <c r="U1" s="42"/>
      <c r="V1" s="42"/>
      <c r="W1" s="42" t="s">
        <v>51</v>
      </c>
      <c r="X1" s="42"/>
      <c r="Y1" s="42"/>
      <c r="Z1" s="42"/>
      <c r="AA1" s="8" t="s">
        <v>36</v>
      </c>
      <c r="AB1" s="8" t="s">
        <v>52</v>
      </c>
      <c r="AG1" s="42" t="s">
        <v>50</v>
      </c>
      <c r="AH1" s="42"/>
      <c r="AI1" s="42"/>
    </row>
    <row r="2" s="7" customFormat="1" ht="51" customHeight="1" spans="1:35">
      <c r="A2" s="45"/>
      <c r="B2" s="22"/>
      <c r="C2" s="8" t="s">
        <v>53</v>
      </c>
      <c r="D2" s="8" t="s">
        <v>54</v>
      </c>
      <c r="E2" s="8" t="s">
        <v>55</v>
      </c>
      <c r="F2" s="8" t="s">
        <v>56</v>
      </c>
      <c r="G2" s="8" t="s">
        <v>57</v>
      </c>
      <c r="H2" s="8" t="s">
        <v>53</v>
      </c>
      <c r="I2" s="8" t="s">
        <v>54</v>
      </c>
      <c r="J2" s="8" t="s">
        <v>55</v>
      </c>
      <c r="K2" s="8" t="s">
        <v>56</v>
      </c>
      <c r="L2" s="22" t="s">
        <v>58</v>
      </c>
      <c r="M2" s="22" t="s">
        <v>56</v>
      </c>
      <c r="N2" s="8" t="s">
        <v>58</v>
      </c>
      <c r="O2" s="8" t="s">
        <v>56</v>
      </c>
      <c r="P2" s="8" t="s">
        <v>59</v>
      </c>
      <c r="Q2" s="8" t="s">
        <v>54</v>
      </c>
      <c r="R2" s="8" t="s">
        <v>55</v>
      </c>
      <c r="S2" s="8" t="s">
        <v>56</v>
      </c>
      <c r="T2" s="8" t="s">
        <v>20</v>
      </c>
      <c r="U2" s="8" t="s">
        <v>23</v>
      </c>
      <c r="V2" s="8" t="s">
        <v>24</v>
      </c>
      <c r="W2" s="22" t="s">
        <v>27</v>
      </c>
      <c r="X2" s="22" t="s">
        <v>29</v>
      </c>
      <c r="Y2" s="22" t="s">
        <v>32</v>
      </c>
      <c r="Z2" s="22" t="s">
        <v>34</v>
      </c>
      <c r="AA2" s="47"/>
      <c r="AB2" s="47"/>
      <c r="AG2" s="8" t="s">
        <v>20</v>
      </c>
      <c r="AH2" s="8" t="s">
        <v>23</v>
      </c>
      <c r="AI2" s="8" t="s">
        <v>24</v>
      </c>
    </row>
    <row r="3" ht="22" customHeight="1" spans="1:35">
      <c r="A3" s="43" t="s">
        <v>60</v>
      </c>
      <c r="B3" s="48" t="s">
        <v>61</v>
      </c>
      <c r="C3" s="49">
        <v>161.4</v>
      </c>
      <c r="D3" s="50">
        <v>134.86</v>
      </c>
      <c r="E3" s="51">
        <f t="shared" ref="E3:E13" si="0">D3/C3</f>
        <v>0.835563816604709</v>
      </c>
      <c r="F3" s="52">
        <f t="shared" ref="F3:F13" si="1">MIN(15,E3*15)</f>
        <v>12.5334572490706</v>
      </c>
      <c r="G3" s="53">
        <v>3671</v>
      </c>
      <c r="H3" s="53">
        <v>3550</v>
      </c>
      <c r="I3" s="54">
        <v>3528</v>
      </c>
      <c r="J3" s="55">
        <f t="shared" ref="J3:J13" si="2">I3/H3</f>
        <v>0.993802816901408</v>
      </c>
      <c r="K3" s="49">
        <f t="shared" ref="K3:K13" si="3">IF(J3&lt;100%,MAX(15-(1-J3)*100*5,0),15)</f>
        <v>11.9014084507042</v>
      </c>
      <c r="L3" s="56">
        <v>78.8</v>
      </c>
      <c r="M3" s="57">
        <v>5</v>
      </c>
      <c r="N3" s="58">
        <v>42.2</v>
      </c>
      <c r="O3" s="58">
        <v>2.2</v>
      </c>
      <c r="P3" s="59">
        <v>57</v>
      </c>
      <c r="Q3" s="58">
        <v>19</v>
      </c>
      <c r="R3" s="60">
        <v>0.333</v>
      </c>
      <c r="S3" s="58">
        <v>3.5</v>
      </c>
      <c r="T3" s="61">
        <f>_xlfn.XLOOKUP($B3,Sheet5!$D:$D,Sheet5!I:I)</f>
        <v>5</v>
      </c>
      <c r="U3" s="61">
        <f>_xlfn.XLOOKUP($B3,Sheet5!$D:$D,Sheet5!N:N)</f>
        <v>4.02461538461538</v>
      </c>
      <c r="V3" s="61">
        <f>_xlfn.XLOOKUP($B3,Sheet5!$D:$D,Sheet5!S:S)</f>
        <v>4.86974358974359</v>
      </c>
      <c r="W3" s="62">
        <v>10</v>
      </c>
      <c r="X3" s="63">
        <v>10</v>
      </c>
      <c r="Y3" s="63">
        <v>0</v>
      </c>
      <c r="Z3" s="63">
        <v>3.39</v>
      </c>
      <c r="AA3" s="64">
        <f t="shared" ref="AA3:AA12" si="4">F3+K3+M3+O3+S3+T3+U3+V3+W3+X3+Y3+Z3</f>
        <v>72.4192246741339</v>
      </c>
      <c r="AB3" s="43">
        <f>RANK(AA3,$AA$3:$AA$15)</f>
        <v>10</v>
      </c>
      <c r="AC3" s="48" t="s">
        <v>61</v>
      </c>
      <c r="AF3" s="9" t="s">
        <v>62</v>
      </c>
      <c r="AG3" s="10">
        <v>0.421</v>
      </c>
      <c r="AH3" s="11">
        <v>0.2</v>
      </c>
      <c r="AI3" s="10">
        <v>0.405</v>
      </c>
    </row>
    <row r="4" ht="22" customHeight="1" spans="1:35">
      <c r="A4" s="43" t="s">
        <v>63</v>
      </c>
      <c r="B4" s="48" t="s">
        <v>64</v>
      </c>
      <c r="C4" s="49">
        <v>158.57</v>
      </c>
      <c r="D4" s="50">
        <v>139.32</v>
      </c>
      <c r="E4" s="51">
        <f t="shared" si="0"/>
        <v>0.878602509932522</v>
      </c>
      <c r="F4" s="52">
        <f t="shared" si="1"/>
        <v>13.1790376489878</v>
      </c>
      <c r="G4" s="53">
        <v>3349</v>
      </c>
      <c r="H4" s="53">
        <v>3238</v>
      </c>
      <c r="I4" s="54">
        <v>3203</v>
      </c>
      <c r="J4" s="55">
        <f t="shared" si="2"/>
        <v>0.989190858554663</v>
      </c>
      <c r="K4" s="49">
        <f t="shared" si="3"/>
        <v>9.59542927733169</v>
      </c>
      <c r="L4" s="56">
        <v>67.37</v>
      </c>
      <c r="M4" s="57">
        <v>4</v>
      </c>
      <c r="N4" s="58">
        <v>46</v>
      </c>
      <c r="O4" s="58">
        <v>2.6</v>
      </c>
      <c r="P4" s="59">
        <v>72</v>
      </c>
      <c r="Q4" s="58">
        <v>57</v>
      </c>
      <c r="R4" s="65">
        <v>0.792</v>
      </c>
      <c r="S4" s="58">
        <v>4.75</v>
      </c>
      <c r="T4" s="61">
        <f>_xlfn.XLOOKUP($B4,Sheet5!$D:$D,Sheet5!I:I)</f>
        <v>5</v>
      </c>
      <c r="U4" s="61">
        <f>_xlfn.XLOOKUP($B4,Sheet5!$D:$D,Sheet5!N:N)</f>
        <v>3.92307692307692</v>
      </c>
      <c r="V4" s="61">
        <f>_xlfn.XLOOKUP($B4,Sheet5!$D:$D,Sheet5!S:S)</f>
        <v>3.98871794871795</v>
      </c>
      <c r="W4" s="62">
        <v>10</v>
      </c>
      <c r="X4" s="63">
        <v>10</v>
      </c>
      <c r="Y4" s="63">
        <v>10</v>
      </c>
      <c r="Z4" s="63">
        <v>6.79</v>
      </c>
      <c r="AA4" s="64">
        <f t="shared" si="4"/>
        <v>83.8262617981144</v>
      </c>
      <c r="AB4" s="43">
        <f t="shared" ref="AB4:AB15" si="5">RANK(AA4,$AA$3:$AA$15)</f>
        <v>4</v>
      </c>
      <c r="AC4" s="48" t="s">
        <v>64</v>
      </c>
      <c r="AF4" s="9" t="s">
        <v>65</v>
      </c>
      <c r="AG4" s="10">
        <v>0.4</v>
      </c>
      <c r="AH4" s="11">
        <v>0.143</v>
      </c>
      <c r="AI4" s="10">
        <v>0.364</v>
      </c>
    </row>
    <row r="5" ht="22" customHeight="1" spans="1:35">
      <c r="A5" s="43" t="s">
        <v>66</v>
      </c>
      <c r="B5" s="48" t="s">
        <v>65</v>
      </c>
      <c r="C5" s="49">
        <v>146.15</v>
      </c>
      <c r="D5" s="50">
        <v>117.84</v>
      </c>
      <c r="E5" s="51">
        <f t="shared" si="0"/>
        <v>0.806294902497434</v>
      </c>
      <c r="F5" s="52">
        <f t="shared" si="1"/>
        <v>12.0944235374615</v>
      </c>
      <c r="G5" s="53">
        <v>3497</v>
      </c>
      <c r="H5" s="53">
        <v>3382</v>
      </c>
      <c r="I5" s="54">
        <v>3378</v>
      </c>
      <c r="J5" s="55">
        <f t="shared" si="2"/>
        <v>0.998817267888823</v>
      </c>
      <c r="K5" s="49">
        <f t="shared" si="3"/>
        <v>14.4086339444116</v>
      </c>
      <c r="L5" s="56">
        <v>60.24</v>
      </c>
      <c r="M5" s="66">
        <v>4</v>
      </c>
      <c r="N5" s="58">
        <v>40.3</v>
      </c>
      <c r="O5" s="58">
        <v>2</v>
      </c>
      <c r="P5" s="59">
        <v>95</v>
      </c>
      <c r="Q5" s="58">
        <v>66</v>
      </c>
      <c r="R5" s="67">
        <v>0.695</v>
      </c>
      <c r="S5" s="58">
        <v>4.25</v>
      </c>
      <c r="T5" s="61">
        <f>_xlfn.XLOOKUP($B5,Sheet5!$D:$D,Sheet5!I:I)</f>
        <v>4.26051282051282</v>
      </c>
      <c r="U5" s="61">
        <f>_xlfn.XLOOKUP($B5,Sheet5!$D:$D,Sheet5!N:N)</f>
        <v>3.78769230769231</v>
      </c>
      <c r="V5" s="61">
        <f>_xlfn.XLOOKUP($B5,Sheet5!$D:$D,Sheet5!S:S)</f>
        <v>4.22769230769231</v>
      </c>
      <c r="W5" s="62">
        <v>10</v>
      </c>
      <c r="X5" s="63">
        <v>10</v>
      </c>
      <c r="Y5" s="63">
        <v>0</v>
      </c>
      <c r="Z5" s="63">
        <v>6.45</v>
      </c>
      <c r="AA5" s="64">
        <f t="shared" si="4"/>
        <v>75.4789549177706</v>
      </c>
      <c r="AB5" s="43">
        <f t="shared" si="5"/>
        <v>8</v>
      </c>
      <c r="AC5" s="48" t="s">
        <v>65</v>
      </c>
      <c r="AF5" s="9" t="s">
        <v>67</v>
      </c>
      <c r="AG5" s="10">
        <v>0.4</v>
      </c>
      <c r="AH5" s="11">
        <v>0.5</v>
      </c>
      <c r="AI5" s="10">
        <v>0.417</v>
      </c>
    </row>
    <row r="6" ht="22" customHeight="1" spans="1:35">
      <c r="A6" s="43" t="s">
        <v>68</v>
      </c>
      <c r="B6" s="48" t="s">
        <v>67</v>
      </c>
      <c r="C6" s="49">
        <v>167.73</v>
      </c>
      <c r="D6" s="50">
        <v>150.84</v>
      </c>
      <c r="E6" s="51">
        <f t="shared" si="0"/>
        <v>0.899302450366661</v>
      </c>
      <c r="F6" s="52">
        <f t="shared" si="1"/>
        <v>13.4895367554999</v>
      </c>
      <c r="G6" s="53">
        <v>3841</v>
      </c>
      <c r="H6" s="53">
        <v>3714</v>
      </c>
      <c r="I6" s="54">
        <v>3700</v>
      </c>
      <c r="J6" s="55">
        <f t="shared" si="2"/>
        <v>0.996230479267636</v>
      </c>
      <c r="K6" s="49">
        <f t="shared" si="3"/>
        <v>13.115239633818</v>
      </c>
      <c r="L6" s="56">
        <v>86.21</v>
      </c>
      <c r="M6" s="66">
        <v>5</v>
      </c>
      <c r="N6" s="58">
        <v>49.7</v>
      </c>
      <c r="O6" s="58">
        <v>3</v>
      </c>
      <c r="P6" s="59">
        <v>63</v>
      </c>
      <c r="Q6" s="58">
        <v>48</v>
      </c>
      <c r="R6" s="65">
        <v>0.762</v>
      </c>
      <c r="S6" s="58">
        <v>4.5</v>
      </c>
      <c r="T6" s="61">
        <f>_xlfn.XLOOKUP($B6,Sheet5!$D:$D,Sheet5!I:I)</f>
        <v>4.37846153846154</v>
      </c>
      <c r="U6" s="61">
        <f>_xlfn.XLOOKUP($B6,Sheet5!$D:$D,Sheet5!N:N)</f>
        <v>4.51282051282051</v>
      </c>
      <c r="V6" s="61">
        <f>_xlfn.XLOOKUP($B6,Sheet5!$D:$D,Sheet5!S:S)</f>
        <v>4.31282051282051</v>
      </c>
      <c r="W6" s="62">
        <v>10</v>
      </c>
      <c r="X6" s="63">
        <v>10</v>
      </c>
      <c r="Y6" s="63">
        <v>4</v>
      </c>
      <c r="Z6" s="63">
        <v>10</v>
      </c>
      <c r="AA6" s="68">
        <f t="shared" si="4"/>
        <v>86.3088789534205</v>
      </c>
      <c r="AB6" s="69">
        <f t="shared" si="5"/>
        <v>3</v>
      </c>
      <c r="AC6" s="70" t="s">
        <v>67</v>
      </c>
      <c r="AF6" s="9" t="s">
        <v>64</v>
      </c>
      <c r="AG6" s="10">
        <v>0.733</v>
      </c>
      <c r="AH6" s="11">
        <v>0.3</v>
      </c>
      <c r="AI6" s="10">
        <v>0.391</v>
      </c>
    </row>
    <row r="7" ht="22" customHeight="1" spans="1:35">
      <c r="A7" s="43" t="s">
        <v>69</v>
      </c>
      <c r="B7" s="48" t="s">
        <v>62</v>
      </c>
      <c r="C7" s="49">
        <v>214.01</v>
      </c>
      <c r="D7" s="50">
        <v>191.69</v>
      </c>
      <c r="E7" s="51">
        <f t="shared" si="0"/>
        <v>0.895705808139807</v>
      </c>
      <c r="F7" s="52">
        <f t="shared" si="1"/>
        <v>13.4355871220971</v>
      </c>
      <c r="G7" s="53">
        <v>5361</v>
      </c>
      <c r="H7" s="53">
        <v>5184</v>
      </c>
      <c r="I7" s="54">
        <v>5159</v>
      </c>
      <c r="J7" s="55">
        <f t="shared" si="2"/>
        <v>0.995177469135803</v>
      </c>
      <c r="K7" s="49">
        <f t="shared" si="3"/>
        <v>12.5887345679013</v>
      </c>
      <c r="L7" s="56">
        <v>47.04</v>
      </c>
      <c r="M7" s="66">
        <v>2</v>
      </c>
      <c r="N7" s="58">
        <v>40.7</v>
      </c>
      <c r="O7" s="58">
        <v>2.1</v>
      </c>
      <c r="P7" s="59">
        <v>95</v>
      </c>
      <c r="Q7" s="58">
        <v>32</v>
      </c>
      <c r="R7" s="67">
        <v>0.337</v>
      </c>
      <c r="S7" s="58">
        <v>3.75</v>
      </c>
      <c r="T7" s="61">
        <f>_xlfn.XLOOKUP($B7,Sheet5!$D:$D,Sheet5!I:I)</f>
        <v>4.18358974358974</v>
      </c>
      <c r="U7" s="61">
        <f>_xlfn.XLOOKUP($B7,Sheet5!$D:$D,Sheet5!N:N)</f>
        <v>3.41025641025641</v>
      </c>
      <c r="V7" s="61">
        <f>_xlfn.XLOOKUP($B7,Sheet5!$D:$D,Sheet5!S:S)</f>
        <v>4.51384615384615</v>
      </c>
      <c r="W7" s="62">
        <v>10</v>
      </c>
      <c r="X7" s="63">
        <v>8</v>
      </c>
      <c r="Y7" s="63">
        <v>0</v>
      </c>
      <c r="Z7" s="63">
        <v>5.74</v>
      </c>
      <c r="AA7" s="64">
        <f t="shared" si="4"/>
        <v>69.7220139976907</v>
      </c>
      <c r="AB7" s="43">
        <f t="shared" si="5"/>
        <v>11</v>
      </c>
      <c r="AC7" s="48" t="s">
        <v>62</v>
      </c>
      <c r="AF7" s="9" t="s">
        <v>61</v>
      </c>
      <c r="AG7" s="10">
        <v>0.667</v>
      </c>
      <c r="AH7" s="11">
        <v>0.333</v>
      </c>
      <c r="AI7" s="10">
        <v>0.64</v>
      </c>
    </row>
    <row r="8" ht="22" customHeight="1" spans="1:35">
      <c r="A8" s="43" t="s">
        <v>70</v>
      </c>
      <c r="B8" s="48" t="s">
        <v>71</v>
      </c>
      <c r="C8" s="49">
        <v>129.71</v>
      </c>
      <c r="D8" s="50">
        <v>96.91</v>
      </c>
      <c r="E8" s="51">
        <f t="shared" si="0"/>
        <v>0.747128209081798</v>
      </c>
      <c r="F8" s="52">
        <f t="shared" si="1"/>
        <v>11.206923136227</v>
      </c>
      <c r="G8" s="53">
        <v>2864</v>
      </c>
      <c r="H8" s="53">
        <v>2769</v>
      </c>
      <c r="I8" s="54">
        <v>2764</v>
      </c>
      <c r="J8" s="55">
        <f t="shared" si="2"/>
        <v>0.998194293968942</v>
      </c>
      <c r="K8" s="49">
        <f t="shared" si="3"/>
        <v>14.0971469844709</v>
      </c>
      <c r="L8" s="56">
        <v>58.96</v>
      </c>
      <c r="M8" s="66">
        <v>3</v>
      </c>
      <c r="N8" s="58">
        <v>40.9</v>
      </c>
      <c r="O8" s="58">
        <v>2.1</v>
      </c>
      <c r="P8" s="59">
        <v>64</v>
      </c>
      <c r="Q8" s="58">
        <v>21</v>
      </c>
      <c r="R8" s="60">
        <v>0.328</v>
      </c>
      <c r="S8" s="58">
        <v>3.25</v>
      </c>
      <c r="T8" s="61">
        <f>_xlfn.XLOOKUP($B8,Sheet5!$D:$D,Sheet5!I:I)</f>
        <v>5</v>
      </c>
      <c r="U8" s="61">
        <f>_xlfn.XLOOKUP($B8,Sheet5!$D:$D,Sheet5!N:N)</f>
        <v>4.17333333333333</v>
      </c>
      <c r="V8" s="61">
        <f>_xlfn.XLOOKUP($B8,Sheet5!$D:$D,Sheet5!S:S)</f>
        <v>3.79384615384615</v>
      </c>
      <c r="W8" s="62">
        <v>10</v>
      </c>
      <c r="X8" s="63">
        <v>10</v>
      </c>
      <c r="Y8" s="63">
        <v>10</v>
      </c>
      <c r="Z8" s="63">
        <v>10</v>
      </c>
      <c r="AA8" s="68">
        <f t="shared" si="4"/>
        <v>86.6212496078774</v>
      </c>
      <c r="AB8" s="69">
        <f t="shared" si="5"/>
        <v>2</v>
      </c>
      <c r="AC8" s="70" t="s">
        <v>71</v>
      </c>
      <c r="AF8" s="9" t="s">
        <v>71</v>
      </c>
      <c r="AG8" s="10">
        <v>1</v>
      </c>
      <c r="AH8" s="11">
        <v>0.429</v>
      </c>
      <c r="AI8" s="10">
        <v>0.25</v>
      </c>
    </row>
    <row r="9" ht="22" customHeight="1" spans="1:35">
      <c r="A9" s="43" t="s">
        <v>72</v>
      </c>
      <c r="B9" s="48" t="s">
        <v>73</v>
      </c>
      <c r="C9" s="49">
        <v>39.66</v>
      </c>
      <c r="D9" s="50">
        <v>39.53</v>
      </c>
      <c r="E9" s="51">
        <f t="shared" si="0"/>
        <v>0.996722138174483</v>
      </c>
      <c r="F9" s="52">
        <f t="shared" si="1"/>
        <v>14.9508320726172</v>
      </c>
      <c r="G9" s="53">
        <v>987</v>
      </c>
      <c r="H9" s="53">
        <v>954</v>
      </c>
      <c r="I9" s="54">
        <v>945</v>
      </c>
      <c r="J9" s="55">
        <f t="shared" si="2"/>
        <v>0.990566037735849</v>
      </c>
      <c r="K9" s="49">
        <f t="shared" si="3"/>
        <v>10.2830188679245</v>
      </c>
      <c r="L9" s="56">
        <v>77.02</v>
      </c>
      <c r="M9" s="66">
        <v>5</v>
      </c>
      <c r="N9" s="58">
        <v>24.6</v>
      </c>
      <c r="O9" s="58">
        <v>0.5</v>
      </c>
      <c r="P9" s="59">
        <v>1</v>
      </c>
      <c r="Q9" s="58">
        <v>1</v>
      </c>
      <c r="R9" s="65">
        <v>1</v>
      </c>
      <c r="S9" s="58">
        <v>5</v>
      </c>
      <c r="T9" s="61">
        <f>_xlfn.XLOOKUP($B9,Sheet5!$D:$D,Sheet5!I:I)</f>
        <v>3</v>
      </c>
      <c r="U9" s="61">
        <f>_xlfn.XLOOKUP($B9,Sheet5!$D:$D,Sheet5!N:N)</f>
        <v>5</v>
      </c>
      <c r="V9" s="61">
        <f>_xlfn.XLOOKUP($B9,Sheet5!$D:$D,Sheet5!S:S)</f>
        <v>3</v>
      </c>
      <c r="W9" s="62">
        <v>10</v>
      </c>
      <c r="X9" s="63">
        <v>6</v>
      </c>
      <c r="Y9" s="63">
        <v>2</v>
      </c>
      <c r="Z9" s="63">
        <v>1.74</v>
      </c>
      <c r="AA9" s="64">
        <f t="shared" si="4"/>
        <v>66.4738509405418</v>
      </c>
      <c r="AB9" s="43">
        <f t="shared" si="5"/>
        <v>12</v>
      </c>
      <c r="AC9" s="48" t="s">
        <v>73</v>
      </c>
      <c r="AF9" s="9" t="s">
        <v>74</v>
      </c>
      <c r="AG9" s="10">
        <v>0.316</v>
      </c>
      <c r="AH9" s="11">
        <v>0.25</v>
      </c>
      <c r="AI9" s="10">
        <v>0.241</v>
      </c>
    </row>
    <row r="10" ht="22" customHeight="1" spans="1:35">
      <c r="A10" s="43" t="s">
        <v>75</v>
      </c>
      <c r="B10" s="48" t="s">
        <v>76</v>
      </c>
      <c r="C10" s="49">
        <v>37.45</v>
      </c>
      <c r="D10" s="50">
        <v>31.38</v>
      </c>
      <c r="E10" s="51">
        <f t="shared" si="0"/>
        <v>0.837917222963952</v>
      </c>
      <c r="F10" s="52">
        <f t="shared" si="1"/>
        <v>12.5687583444593</v>
      </c>
      <c r="G10" s="53">
        <v>1021</v>
      </c>
      <c r="H10" s="53">
        <v>987</v>
      </c>
      <c r="I10" s="54">
        <v>992</v>
      </c>
      <c r="J10" s="55">
        <f t="shared" si="2"/>
        <v>1.00506585612969</v>
      </c>
      <c r="K10" s="49">
        <f t="shared" si="3"/>
        <v>15</v>
      </c>
      <c r="L10" s="56">
        <v>56.77</v>
      </c>
      <c r="M10" s="66">
        <v>3</v>
      </c>
      <c r="N10" s="58">
        <v>41.4</v>
      </c>
      <c r="O10" s="58">
        <v>2.1</v>
      </c>
      <c r="P10" s="59">
        <v>12</v>
      </c>
      <c r="Q10" s="58">
        <v>6</v>
      </c>
      <c r="R10" s="67">
        <v>0.5</v>
      </c>
      <c r="S10" s="58">
        <v>4</v>
      </c>
      <c r="T10" s="61">
        <f>_xlfn.XLOOKUP($B10,Sheet5!$D:$D,Sheet5!I:I)</f>
        <v>4.84615384615385</v>
      </c>
      <c r="U10" s="61">
        <f>_xlfn.XLOOKUP($B10,Sheet5!$D:$D,Sheet5!N:N)</f>
        <v>3.51282051282051</v>
      </c>
      <c r="V10" s="61">
        <f>_xlfn.XLOOKUP($B10,Sheet5!$D:$D,Sheet5!S:S)</f>
        <v>3.64102564102564</v>
      </c>
      <c r="W10" s="62">
        <v>10</v>
      </c>
      <c r="X10" s="63">
        <v>10</v>
      </c>
      <c r="Y10" s="63">
        <v>10</v>
      </c>
      <c r="Z10" s="63">
        <v>10</v>
      </c>
      <c r="AA10" s="68">
        <f t="shared" si="4"/>
        <v>88.6687583444593</v>
      </c>
      <c r="AB10" s="69">
        <f t="shared" si="5"/>
        <v>1</v>
      </c>
      <c r="AC10" s="70" t="s">
        <v>76</v>
      </c>
      <c r="AF10" s="9" t="s">
        <v>77</v>
      </c>
      <c r="AG10" s="10">
        <v>0.375</v>
      </c>
      <c r="AH10" s="11">
        <v>0.25</v>
      </c>
      <c r="AI10" s="10">
        <v>0.05</v>
      </c>
    </row>
    <row r="11" ht="22" customHeight="1" spans="1:35">
      <c r="A11" s="43" t="s">
        <v>78</v>
      </c>
      <c r="B11" s="48" t="s">
        <v>74</v>
      </c>
      <c r="C11" s="49">
        <v>163.11</v>
      </c>
      <c r="D11" s="50">
        <v>152.61</v>
      </c>
      <c r="E11" s="51">
        <f t="shared" si="0"/>
        <v>0.93562626448409</v>
      </c>
      <c r="F11" s="52">
        <f t="shared" si="1"/>
        <v>14.0343939672614</v>
      </c>
      <c r="G11" s="53">
        <v>4088</v>
      </c>
      <c r="H11" s="53">
        <v>3953</v>
      </c>
      <c r="I11" s="54">
        <v>3934</v>
      </c>
      <c r="J11" s="55">
        <f t="shared" si="2"/>
        <v>0.995193523905894</v>
      </c>
      <c r="K11" s="49">
        <f t="shared" si="3"/>
        <v>12.5967619529471</v>
      </c>
      <c r="L11" s="56">
        <v>52.79</v>
      </c>
      <c r="M11" s="66">
        <v>5.5</v>
      </c>
      <c r="N11" s="58">
        <v>26.9</v>
      </c>
      <c r="O11" s="58">
        <v>0.7</v>
      </c>
      <c r="P11" s="59"/>
      <c r="Q11" s="58"/>
      <c r="R11" s="67"/>
      <c r="S11" s="58"/>
      <c r="T11" s="61">
        <f>_xlfn.XLOOKUP($B11,Sheet5!$D:$D,Sheet5!I:I)</f>
        <v>4.05846153846154</v>
      </c>
      <c r="U11" s="61">
        <f>_xlfn.XLOOKUP($B11,Sheet5!$D:$D,Sheet5!N:N)</f>
        <v>3.64102564102564</v>
      </c>
      <c r="V11" s="61">
        <f>_xlfn.XLOOKUP($B11,Sheet5!$D:$D,Sheet5!S:S)</f>
        <v>3.76</v>
      </c>
      <c r="W11" s="62">
        <v>10</v>
      </c>
      <c r="X11" s="63">
        <v>10</v>
      </c>
      <c r="Y11" s="63">
        <v>0</v>
      </c>
      <c r="Z11" s="63">
        <v>9.94</v>
      </c>
      <c r="AA11" s="64">
        <f t="shared" si="4"/>
        <v>74.2306430996956</v>
      </c>
      <c r="AB11" s="43">
        <f t="shared" si="5"/>
        <v>9</v>
      </c>
      <c r="AC11" s="48" t="s">
        <v>74</v>
      </c>
      <c r="AF11" s="9" t="s">
        <v>76</v>
      </c>
      <c r="AG11" s="10">
        <v>0.6</v>
      </c>
      <c r="AH11" s="11">
        <v>0</v>
      </c>
      <c r="AI11" s="10">
        <v>0.125</v>
      </c>
    </row>
    <row r="12" ht="22" customHeight="1" spans="1:35">
      <c r="A12" s="43" t="s">
        <v>79</v>
      </c>
      <c r="B12" s="48" t="s">
        <v>77</v>
      </c>
      <c r="C12" s="49">
        <v>133.63</v>
      </c>
      <c r="D12" s="50">
        <v>131.43</v>
      </c>
      <c r="E12" s="51">
        <f t="shared" si="0"/>
        <v>0.983536630996034</v>
      </c>
      <c r="F12" s="52">
        <f t="shared" si="1"/>
        <v>14.7530494649405</v>
      </c>
      <c r="G12" s="53">
        <v>3130</v>
      </c>
      <c r="H12" s="53">
        <v>3027</v>
      </c>
      <c r="I12" s="54">
        <v>2995</v>
      </c>
      <c r="J12" s="55">
        <f t="shared" si="2"/>
        <v>0.989428477039974</v>
      </c>
      <c r="K12" s="49">
        <f t="shared" si="3"/>
        <v>9.7142385199868</v>
      </c>
      <c r="L12" s="56">
        <v>44.12</v>
      </c>
      <c r="M12" s="66">
        <v>2</v>
      </c>
      <c r="N12" s="58">
        <v>28.9</v>
      </c>
      <c r="O12" s="58">
        <v>0.9</v>
      </c>
      <c r="P12" s="59">
        <v>1</v>
      </c>
      <c r="Q12" s="58">
        <v>0</v>
      </c>
      <c r="R12" s="60">
        <v>0</v>
      </c>
      <c r="S12" s="58">
        <v>3</v>
      </c>
      <c r="T12" s="61">
        <f>_xlfn.XLOOKUP($B12,Sheet5!$D:$D,Sheet5!I:I)</f>
        <v>4.30358974358974</v>
      </c>
      <c r="U12" s="61">
        <f>_xlfn.XLOOKUP($B12,Sheet5!$D:$D,Sheet5!N:N)</f>
        <v>3</v>
      </c>
      <c r="V12" s="61">
        <f>_xlfn.XLOOKUP($B12,Sheet5!$D:$D,Sheet5!S:S)</f>
        <v>3.46153846153846</v>
      </c>
      <c r="W12" s="62">
        <v>10</v>
      </c>
      <c r="X12" s="63">
        <v>10</v>
      </c>
      <c r="Y12" s="63">
        <v>10</v>
      </c>
      <c r="Z12" s="63">
        <v>8.75</v>
      </c>
      <c r="AA12" s="64">
        <f t="shared" si="4"/>
        <v>79.8824161900555</v>
      </c>
      <c r="AB12" s="43">
        <f t="shared" si="5"/>
        <v>6</v>
      </c>
      <c r="AC12" s="48" t="s">
        <v>77</v>
      </c>
      <c r="AF12" s="9" t="s">
        <v>73</v>
      </c>
      <c r="AG12" s="10">
        <v>0</v>
      </c>
      <c r="AH12" s="11">
        <v>1</v>
      </c>
      <c r="AI12" s="10">
        <v>0</v>
      </c>
    </row>
    <row r="13" ht="22" customHeight="1" spans="1:35">
      <c r="A13" s="43" t="s">
        <v>80</v>
      </c>
      <c r="B13" s="71" t="s">
        <v>36</v>
      </c>
      <c r="C13" s="72">
        <v>1406.83</v>
      </c>
      <c r="D13" s="72">
        <v>1230.76</v>
      </c>
      <c r="E13" s="73">
        <f t="shared" si="0"/>
        <v>0.874846285620864</v>
      </c>
      <c r="F13" s="72">
        <f t="shared" si="1"/>
        <v>13.122694284313</v>
      </c>
      <c r="G13" s="74">
        <v>34066</v>
      </c>
      <c r="H13" s="74">
        <v>32942</v>
      </c>
      <c r="I13" s="75">
        <v>32786</v>
      </c>
      <c r="J13" s="73">
        <f t="shared" si="2"/>
        <v>0.995264404104183</v>
      </c>
      <c r="K13" s="72">
        <f t="shared" si="3"/>
        <v>12.6322020520916</v>
      </c>
      <c r="L13" s="76">
        <f>SUM(L3:L12)/10</f>
        <v>62.932</v>
      </c>
      <c r="M13" s="76">
        <v>4</v>
      </c>
      <c r="N13" s="76">
        <f>SUM(N3:N12)/10</f>
        <v>38.16</v>
      </c>
      <c r="O13" s="76">
        <f>SUM(O3:O12)/10</f>
        <v>1.82</v>
      </c>
      <c r="P13" s="77">
        <v>460</v>
      </c>
      <c r="Q13" s="77">
        <v>250</v>
      </c>
      <c r="R13" s="78">
        <v>0.543</v>
      </c>
      <c r="S13" s="76">
        <f>SUM(S3:S12)/9</f>
        <v>4</v>
      </c>
      <c r="T13" s="76">
        <f>_xlfn.XLOOKUP($B13,Sheet5!$D:$D,Sheet5!I:I)</f>
        <v>4.56923076923077</v>
      </c>
      <c r="U13" s="76">
        <f>_xlfn.XLOOKUP($B13,Sheet5!$D:$D,Sheet5!N:N)</f>
        <v>3.89333333333333</v>
      </c>
      <c r="V13" s="76">
        <f>_xlfn.XLOOKUP($B13,Sheet5!$D:$D,Sheet5!S:S)</f>
        <v>4.10051282051282</v>
      </c>
      <c r="W13" s="79">
        <v>10</v>
      </c>
      <c r="X13" s="79">
        <f>SUM(X3:X12)/10</f>
        <v>9.4</v>
      </c>
      <c r="Y13" s="79">
        <f>SUM(Y3:Y12)/10</f>
        <v>4.6</v>
      </c>
      <c r="Z13" s="79">
        <v>7.28</v>
      </c>
      <c r="AA13" s="80"/>
      <c r="AB13" s="43"/>
    </row>
    <row r="14" customHeight="1" spans="1:35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 t="s">
        <v>39</v>
      </c>
      <c r="AA14" s="82">
        <f>(F13+K13+M13+O13+S13+T13+U13+V13)/6*10</f>
        <v>80.2299554324691</v>
      </c>
      <c r="AB14" s="43">
        <f t="shared" si="5"/>
        <v>5</v>
      </c>
    </row>
    <row r="15" customHeight="1" spans="1:3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 t="s">
        <v>42</v>
      </c>
      <c r="AA15" s="83">
        <f>SUM(W13:Z13)/4*10</f>
        <v>78.2</v>
      </c>
      <c r="AB15" s="43">
        <f t="shared" si="5"/>
        <v>7</v>
      </c>
    </row>
    <row r="16" customHeight="1" spans="1:35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</row>
  </sheetData>
  <mergeCells count="12">
    <mergeCell ref="C1:F1"/>
    <mergeCell ref="G1:K1"/>
    <mergeCell ref="L1:M1"/>
    <mergeCell ref="N1:O1"/>
    <mergeCell ref="P1:S1"/>
    <mergeCell ref="T1:V1"/>
    <mergeCell ref="W1:Z1"/>
    <mergeCell ref="AG1:AI1"/>
    <mergeCell ref="A1:A2"/>
    <mergeCell ref="B1:B2"/>
    <mergeCell ref="AA1:AA2"/>
    <mergeCell ref="AB1:AB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6"/>
  <sheetViews>
    <sheetView workbookViewId="0">
      <selection activeCell="A1" sqref="A1:E1"/>
    </sheetView>
  </sheetViews>
  <sheetFormatPr defaultColWidth="7.33333333333333" defaultRowHeight="14.25" customHeight="1" outlineLevelCol="4"/>
  <cols>
    <col min="1" max="1" width="26.6666666666667" style="38" customWidth="1"/>
    <col min="2" max="2" width="38.3333333333333" style="38" customWidth="1"/>
    <col min="3" max="3" width="34.8333333333333" style="38" customWidth="1"/>
    <col min="4" max="4" width="44.8333333333333" style="38" customWidth="1"/>
    <col min="5" max="5" width="13.5" style="38" customWidth="1"/>
    <col min="6" max="9" width="7.33333333333333" style="38"/>
    <col min="10" max="10" width="20.8333333333333" style="38" customWidth="1"/>
    <col min="11" max="11" width="25.1666666666667" style="38" customWidth="1"/>
    <col min="12" max="12" width="10" style="38" customWidth="1"/>
    <col min="13" max="13" width="37.1666666666667" style="38" customWidth="1"/>
    <col min="14" max="40" width="7.33333333333333" style="38"/>
  </cols>
  <sheetData>
    <row r="1" s="38" customFormat="1" ht="37" customHeight="1" spans="1:5">
      <c r="A1" s="39" t="s">
        <v>81</v>
      </c>
      <c r="B1" s="39"/>
      <c r="C1" s="39"/>
      <c r="D1" s="39"/>
      <c r="E1" s="39"/>
    </row>
    <row r="2" s="38" customFormat="1" ht="27" customHeight="1" spans="1:5">
      <c r="A2" s="40" t="s">
        <v>2</v>
      </c>
      <c r="B2" s="40" t="s">
        <v>82</v>
      </c>
      <c r="C2" s="40" t="s">
        <v>83</v>
      </c>
      <c r="D2" s="40" t="s">
        <v>84</v>
      </c>
      <c r="E2" s="40" t="s">
        <v>85</v>
      </c>
    </row>
    <row r="3" s="38" customFormat="1" ht="40" customHeight="1" spans="1:5">
      <c r="A3" s="41" t="s">
        <v>86</v>
      </c>
      <c r="B3" s="40" t="s">
        <v>87</v>
      </c>
      <c r="C3" s="40">
        <v>15</v>
      </c>
      <c r="D3" s="41" t="s">
        <v>88</v>
      </c>
      <c r="E3" s="41" t="s">
        <v>89</v>
      </c>
    </row>
    <row r="4" s="38" customFormat="1" ht="46" customHeight="1" spans="1:5">
      <c r="A4" s="41"/>
      <c r="B4" s="40" t="s">
        <v>90</v>
      </c>
      <c r="C4" s="40">
        <v>15</v>
      </c>
      <c r="D4" s="41"/>
      <c r="E4" s="41"/>
    </row>
    <row r="5" s="38" customFormat="1" ht="46" customHeight="1" spans="1:5">
      <c r="A5" s="41"/>
      <c r="B5" s="40" t="s">
        <v>91</v>
      </c>
      <c r="C5" s="40">
        <v>10</v>
      </c>
      <c r="D5" s="40" t="s">
        <v>92</v>
      </c>
      <c r="E5" s="41"/>
    </row>
    <row r="6" s="38" customFormat="1" ht="41" customHeight="1" spans="1:5">
      <c r="A6" s="41"/>
      <c r="B6" s="40" t="s">
        <v>93</v>
      </c>
      <c r="C6" s="40">
        <v>10</v>
      </c>
      <c r="D6" s="40" t="s">
        <v>94</v>
      </c>
      <c r="E6" s="41"/>
    </row>
    <row r="7" s="38" customFormat="1" ht="96" customHeight="1" spans="1:5">
      <c r="A7" s="41" t="s">
        <v>95</v>
      </c>
      <c r="B7" s="40" t="s">
        <v>96</v>
      </c>
      <c r="C7" s="40">
        <v>50</v>
      </c>
      <c r="D7" s="41" t="s">
        <v>97</v>
      </c>
      <c r="E7" s="41"/>
    </row>
    <row r="8" customHeight="1" spans="1:5">
      <c r="A8" s="40" t="s">
        <v>36</v>
      </c>
      <c r="B8" s="40"/>
      <c r="C8" s="40">
        <f>SUM(C3:C7)</f>
        <v>100</v>
      </c>
      <c r="D8" s="40"/>
      <c r="E8" s="40"/>
    </row>
    <row r="10" ht="21" customHeight="1" spans="1:5">
      <c r="A10" s="42" t="s">
        <v>98</v>
      </c>
      <c r="B10" s="42"/>
      <c r="C10" s="42"/>
      <c r="D10" s="42"/>
    </row>
    <row r="11" ht="28" customHeight="1" spans="1:5">
      <c r="A11" s="43" t="s">
        <v>38</v>
      </c>
      <c r="B11" s="43" t="s">
        <v>3</v>
      </c>
      <c r="C11" s="43" t="s">
        <v>4</v>
      </c>
      <c r="D11" s="43" t="s">
        <v>5</v>
      </c>
    </row>
    <row r="12" ht="106" customHeight="1" spans="1:5">
      <c r="A12" s="44" t="s">
        <v>99</v>
      </c>
      <c r="B12" s="43" t="s">
        <v>96</v>
      </c>
      <c r="C12" s="44" t="s">
        <v>97</v>
      </c>
      <c r="D12" s="43">
        <v>100</v>
      </c>
    </row>
    <row r="16" s="38" customFormat="1" ht="16" customHeight="1"/>
  </sheetData>
  <mergeCells count="5">
    <mergeCell ref="A1:E1"/>
    <mergeCell ref="A10:D10"/>
    <mergeCell ref="A3:A6"/>
    <mergeCell ref="D3:D4"/>
    <mergeCell ref="E3:E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1"/>
  <sheetViews>
    <sheetView workbookViewId="0">
      <selection activeCell="A1" sqref="A1:D1"/>
    </sheetView>
  </sheetViews>
  <sheetFormatPr defaultColWidth="9" defaultRowHeight="13.5" customHeight="1" outlineLevelCol="3"/>
  <cols>
    <col min="1" max="1" width="15" style="28" customWidth="1"/>
    <col min="2" max="2" width="34.8333333333333" style="28" customWidth="1"/>
    <col min="3" max="3" width="77.3333333333333" style="28" customWidth="1"/>
    <col min="4" max="4" width="14.1666666666667" style="28" customWidth="1"/>
    <col min="5" max="40" width="9" style="17"/>
  </cols>
  <sheetData>
    <row r="1" ht="31" customHeight="1" spans="1:4">
      <c r="A1" s="29" t="s">
        <v>100</v>
      </c>
      <c r="B1" s="29"/>
      <c r="C1" s="29"/>
      <c r="D1" s="29"/>
    </row>
    <row r="2" s="17" customFormat="1" ht="40" customHeight="1" spans="1:4">
      <c r="A2" s="30" t="s">
        <v>1</v>
      </c>
      <c r="B2" s="30"/>
      <c r="C2" s="30"/>
      <c r="D2" s="30"/>
    </row>
    <row r="3" s="17" customFormat="1" ht="31" customHeight="1" spans="1:4">
      <c r="A3" s="31" t="s">
        <v>2</v>
      </c>
      <c r="B3" s="31" t="s">
        <v>3</v>
      </c>
      <c r="C3" s="31" t="s">
        <v>4</v>
      </c>
      <c r="D3" s="31" t="s">
        <v>5</v>
      </c>
    </row>
    <row r="4" s="17" customFormat="1" ht="33" customHeight="1" spans="1:4">
      <c r="A4" s="31" t="s">
        <v>101</v>
      </c>
      <c r="B4" s="31" t="s">
        <v>102</v>
      </c>
      <c r="C4" s="31" t="s">
        <v>103</v>
      </c>
      <c r="D4" s="31">
        <v>10</v>
      </c>
    </row>
    <row r="5" s="17" customFormat="1" ht="49.5" customHeight="1" spans="1:4">
      <c r="A5" s="31"/>
      <c r="B5" s="31" t="s">
        <v>104</v>
      </c>
      <c r="C5" s="31" t="s">
        <v>105</v>
      </c>
      <c r="D5" s="31">
        <v>10</v>
      </c>
    </row>
    <row r="6" s="17" customFormat="1" ht="32" customHeight="1" spans="1:4">
      <c r="A6" s="31"/>
      <c r="B6" s="31" t="s">
        <v>106</v>
      </c>
      <c r="C6" s="31" t="s">
        <v>107</v>
      </c>
      <c r="D6" s="31">
        <v>10</v>
      </c>
    </row>
    <row r="7" s="17" customFormat="1" ht="162" customHeight="1" spans="1:4">
      <c r="A7" s="31"/>
      <c r="B7" s="31" t="s">
        <v>108</v>
      </c>
      <c r="C7" s="31" t="s">
        <v>109</v>
      </c>
      <c r="D7" s="32">
        <v>10</v>
      </c>
    </row>
    <row r="8" s="17" customFormat="1" ht="46.5" customHeight="1" spans="1:4">
      <c r="A8" s="31" t="s">
        <v>110</v>
      </c>
      <c r="B8" s="31" t="s">
        <v>111</v>
      </c>
      <c r="C8" s="33" t="s">
        <v>112</v>
      </c>
      <c r="D8" s="31">
        <v>20</v>
      </c>
    </row>
    <row r="9" s="17" customFormat="1" ht="121" customHeight="1" spans="1:4">
      <c r="A9" s="31"/>
      <c r="B9" s="31" t="s">
        <v>113</v>
      </c>
      <c r="C9" s="31" t="s">
        <v>114</v>
      </c>
      <c r="D9" s="34">
        <v>10</v>
      </c>
    </row>
    <row r="10" s="17" customFormat="1" ht="58" customHeight="1" spans="1:4">
      <c r="A10" s="31" t="s">
        <v>115</v>
      </c>
      <c r="B10" s="31" t="s">
        <v>116</v>
      </c>
      <c r="C10" s="31" t="s">
        <v>117</v>
      </c>
      <c r="D10" s="31">
        <v>10</v>
      </c>
    </row>
    <row r="11" s="17" customFormat="1" ht="43" customHeight="1" spans="1:4">
      <c r="A11" s="31"/>
      <c r="B11" s="31" t="s">
        <v>118</v>
      </c>
      <c r="C11" s="31" t="s">
        <v>119</v>
      </c>
      <c r="D11" s="31">
        <v>10</v>
      </c>
    </row>
    <row r="12" s="17" customFormat="1" ht="41" customHeight="1" spans="1:4">
      <c r="A12" s="31"/>
      <c r="B12" s="31" t="s">
        <v>120</v>
      </c>
      <c r="C12" s="31" t="s">
        <v>121</v>
      </c>
      <c r="D12" s="31">
        <v>10</v>
      </c>
    </row>
    <row r="13" s="17" customFormat="1" ht="31" customHeight="1" spans="1:4">
      <c r="A13" s="35" t="s">
        <v>36</v>
      </c>
      <c r="B13" s="36"/>
      <c r="C13" s="36"/>
      <c r="D13" s="35">
        <f>SUM(D4:D12)</f>
        <v>100</v>
      </c>
    </row>
    <row r="17" s="17" customFormat="1" ht="42" customHeight="1" spans="1:4">
      <c r="A17" s="37" t="s">
        <v>122</v>
      </c>
      <c r="B17" s="37"/>
      <c r="C17" s="37"/>
      <c r="D17" s="37"/>
    </row>
    <row r="18" s="17" customFormat="1" ht="28" customHeight="1" spans="1:4">
      <c r="A18" s="35" t="s">
        <v>38</v>
      </c>
      <c r="B18" s="35" t="s">
        <v>3</v>
      </c>
      <c r="C18" s="35" t="s">
        <v>4</v>
      </c>
      <c r="D18" s="35" t="s">
        <v>5</v>
      </c>
    </row>
    <row r="19" s="17" customFormat="1" ht="28" customHeight="1" spans="1:4">
      <c r="A19" s="35" t="s">
        <v>123</v>
      </c>
      <c r="B19" s="35" t="s">
        <v>124</v>
      </c>
      <c r="C19" s="35" t="s">
        <v>125</v>
      </c>
      <c r="D19" s="35">
        <v>100</v>
      </c>
    </row>
    <row r="20" s="17" customFormat="1" ht="28" customHeight="1" spans="1:4">
      <c r="A20" s="35" t="s">
        <v>126</v>
      </c>
      <c r="B20" s="35" t="s">
        <v>127</v>
      </c>
      <c r="C20" s="35" t="s">
        <v>128</v>
      </c>
      <c r="D20" s="35">
        <v>100</v>
      </c>
    </row>
    <row r="21" s="17" customFormat="1" ht="28" customHeight="1" spans="1:4">
      <c r="A21" s="35" t="s">
        <v>129</v>
      </c>
      <c r="B21" s="35" t="s">
        <v>127</v>
      </c>
      <c r="C21" s="35" t="s">
        <v>128</v>
      </c>
      <c r="D21" s="35">
        <v>100</v>
      </c>
    </row>
  </sheetData>
  <mergeCells count="6">
    <mergeCell ref="A1:D1"/>
    <mergeCell ref="A2:D2"/>
    <mergeCell ref="A17:D17"/>
    <mergeCell ref="A4:A7"/>
    <mergeCell ref="A8:A9"/>
    <mergeCell ref="A10:A1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4"/>
  <sheetViews>
    <sheetView workbookViewId="0">
      <selection activeCell="A1" sqref="A1:D1"/>
    </sheetView>
  </sheetViews>
  <sheetFormatPr defaultColWidth="9" defaultRowHeight="15.75" customHeight="1" outlineLevelCol="3"/>
  <cols>
    <col min="1" max="1" width="62.6666666666667" style="17" customWidth="1"/>
    <col min="2" max="2" width="37.8333333333333" style="17" customWidth="1"/>
    <col min="3" max="3" width="34.6666666666667" style="17" customWidth="1"/>
    <col min="4" max="4" width="24.1666666666667" style="17" customWidth="1"/>
  </cols>
  <sheetData>
    <row r="1" ht="32" customHeight="1" spans="1:4">
      <c r="A1" s="18" t="s">
        <v>130</v>
      </c>
      <c r="B1" s="18"/>
      <c r="C1" s="18"/>
      <c r="D1" s="18"/>
    </row>
    <row r="2" ht="23" customHeight="1" spans="1:4">
      <c r="A2" s="19" t="s">
        <v>131</v>
      </c>
      <c r="B2" s="20"/>
      <c r="C2" s="20"/>
      <c r="D2" s="21"/>
    </row>
    <row r="3" ht="26" customHeight="1" spans="1:4">
      <c r="A3" s="22" t="s">
        <v>2</v>
      </c>
      <c r="B3" s="22" t="s">
        <v>3</v>
      </c>
      <c r="C3" s="22" t="s">
        <v>4</v>
      </c>
      <c r="D3" s="22" t="s">
        <v>5</v>
      </c>
    </row>
    <row r="4" ht="47" customHeight="1" spans="1:4">
      <c r="A4" s="23" t="s">
        <v>132</v>
      </c>
      <c r="B4" s="23" t="s">
        <v>133</v>
      </c>
      <c r="C4" s="24" t="s">
        <v>134</v>
      </c>
      <c r="D4" s="23">
        <v>20</v>
      </c>
    </row>
    <row r="5" ht="44" customHeight="1" spans="1:4">
      <c r="A5" s="23" t="s">
        <v>135</v>
      </c>
      <c r="B5" s="23" t="s">
        <v>136</v>
      </c>
      <c r="C5" s="23" t="s">
        <v>137</v>
      </c>
      <c r="D5" s="23">
        <v>20</v>
      </c>
    </row>
    <row r="6" ht="60" customHeight="1" spans="1:4">
      <c r="A6" s="23" t="s">
        <v>138</v>
      </c>
      <c r="B6" s="24" t="s">
        <v>139</v>
      </c>
      <c r="C6" s="23" t="s">
        <v>140</v>
      </c>
      <c r="D6" s="23">
        <v>20</v>
      </c>
    </row>
    <row r="7" ht="50" customHeight="1" spans="1:4">
      <c r="A7" s="23" t="s">
        <v>141</v>
      </c>
      <c r="B7" s="24" t="s">
        <v>142</v>
      </c>
      <c r="C7" s="24" t="s">
        <v>143</v>
      </c>
      <c r="D7" s="23">
        <v>20</v>
      </c>
    </row>
    <row r="8" ht="55" customHeight="1" spans="1:4">
      <c r="A8" s="23" t="s">
        <v>144</v>
      </c>
      <c r="B8" s="24" t="s">
        <v>145</v>
      </c>
      <c r="C8" s="24" t="s">
        <v>146</v>
      </c>
      <c r="D8" s="23">
        <v>20</v>
      </c>
    </row>
    <row r="9" ht="28" customHeight="1" spans="1:4">
      <c r="A9" s="23" t="s">
        <v>36</v>
      </c>
      <c r="B9" s="24"/>
      <c r="C9" s="25"/>
      <c r="D9" s="23">
        <v>100</v>
      </c>
    </row>
    <row r="12" ht="26" customHeight="1" spans="1:4">
      <c r="A12" s="18" t="s">
        <v>147</v>
      </c>
    </row>
    <row r="13" ht="27" customHeight="1" spans="1:4">
      <c r="A13" s="26" t="s">
        <v>148</v>
      </c>
    </row>
    <row r="14" ht="27" customHeight="1" spans="1:4">
      <c r="A14" s="27" t="s">
        <v>136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D1:S14"/>
  <sheetViews>
    <sheetView workbookViewId="0">
      <selection activeCell="A1" sqref="A1"/>
    </sheetView>
  </sheetViews>
  <sheetFormatPr defaultColWidth="10" defaultRowHeight="16.5" customHeight="1"/>
  <sheetData>
    <row r="1" customHeight="1" spans="4:19">
      <c r="E1" s="1" t="s">
        <v>50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customHeight="1" spans="4:19">
      <c r="E2" s="4" t="s">
        <v>20</v>
      </c>
      <c r="F2" s="5"/>
      <c r="G2" s="5"/>
      <c r="H2" s="6"/>
      <c r="I2" s="4"/>
      <c r="J2" s="4" t="s">
        <v>23</v>
      </c>
      <c r="K2" s="5"/>
      <c r="L2" s="5"/>
      <c r="M2" s="6"/>
      <c r="N2" s="4"/>
      <c r="O2" s="4" t="s">
        <v>24</v>
      </c>
      <c r="P2" s="5"/>
      <c r="Q2" s="5"/>
      <c r="R2" s="6"/>
    </row>
    <row r="3" customHeight="1" spans="4:19">
      <c r="D3" s="7"/>
      <c r="E3" s="8">
        <v>202604</v>
      </c>
      <c r="F3" s="8">
        <v>202605</v>
      </c>
      <c r="G3" s="8">
        <v>202606</v>
      </c>
      <c r="H3" s="8" t="s">
        <v>149</v>
      </c>
      <c r="I3" s="8"/>
      <c r="J3" s="8">
        <v>202604</v>
      </c>
      <c r="K3" s="8">
        <v>202605</v>
      </c>
      <c r="L3" s="8">
        <v>202606</v>
      </c>
      <c r="M3" s="8" t="s">
        <v>149</v>
      </c>
      <c r="N3" s="8"/>
      <c r="O3" s="8">
        <v>202604</v>
      </c>
      <c r="P3" s="8">
        <v>202605</v>
      </c>
      <c r="Q3" s="8">
        <v>202606</v>
      </c>
      <c r="R3" s="8" t="s">
        <v>149</v>
      </c>
    </row>
    <row r="4" customHeight="1" spans="4:19">
      <c r="D4" s="9" t="s">
        <v>62</v>
      </c>
      <c r="E4" s="10">
        <v>0.4</v>
      </c>
      <c r="F4" s="10">
        <v>0.333</v>
      </c>
      <c r="G4" s="10">
        <v>0.421</v>
      </c>
      <c r="H4" s="11">
        <f t="shared" ref="H4:H14" si="0">AVERAGEA(E4:G4)</f>
        <v>0.384666666666667</v>
      </c>
      <c r="I4" s="12">
        <f t="shared" ref="I4:I13" si="1">_xlfn.IFS(H4&gt;0.65,5,H4=MIN(H$4:H$13),3,TRUE,(H4/0.65*0.4+0.6)*5)</f>
        <v>4.18358974358974</v>
      </c>
      <c r="J4" s="11">
        <v>0.1</v>
      </c>
      <c r="K4" s="11">
        <v>0.1</v>
      </c>
      <c r="L4" s="11">
        <v>0.2</v>
      </c>
      <c r="M4" s="11">
        <f t="shared" ref="M4:M14" si="2">AVERAGEA(J4:L4)</f>
        <v>0.133333333333333</v>
      </c>
      <c r="N4" s="12">
        <f t="shared" ref="N4:N13" si="3">_xlfn.IFS(M4&gt;0.65,5,M4=MIN(M$4:M$13),3,TRUE,(M4/0.65*0.4+0.6)*5)</f>
        <v>3.41025641025641</v>
      </c>
      <c r="O4" s="10">
        <v>0.528</v>
      </c>
      <c r="P4" s="10">
        <v>0.543</v>
      </c>
      <c r="Q4" s="10">
        <v>0.405</v>
      </c>
      <c r="R4" s="11">
        <f t="shared" ref="R4:R14" si="4">AVERAGEA(O4:Q4)</f>
        <v>0.492</v>
      </c>
      <c r="S4" s="12">
        <f t="shared" ref="S4:S13" si="5">_xlfn.IFS(R4&gt;0.65,5,R4=MIN(R$4:R$13),3,TRUE,(R4/0.65*0.4+0.6)*5)</f>
        <v>4.51384615384615</v>
      </c>
    </row>
    <row r="5" customHeight="1" spans="4:19">
      <c r="D5" s="9" t="s">
        <v>65</v>
      </c>
      <c r="E5" s="10">
        <v>0.4</v>
      </c>
      <c r="F5" s="10">
        <v>0.429</v>
      </c>
      <c r="G5" s="10">
        <v>0.4</v>
      </c>
      <c r="H5" s="11">
        <f t="shared" si="0"/>
        <v>0.409666666666667</v>
      </c>
      <c r="I5" s="12">
        <f t="shared" si="1"/>
        <v>4.26051282051282</v>
      </c>
      <c r="J5" s="11">
        <v>0.375</v>
      </c>
      <c r="K5" s="11">
        <v>0.25</v>
      </c>
      <c r="L5" s="11">
        <v>0.143</v>
      </c>
      <c r="M5" s="11">
        <f t="shared" si="2"/>
        <v>0.256</v>
      </c>
      <c r="N5" s="12">
        <f t="shared" si="3"/>
        <v>3.78769230769231</v>
      </c>
      <c r="O5" s="10">
        <v>0.333</v>
      </c>
      <c r="P5" s="10">
        <v>0.5</v>
      </c>
      <c r="Q5" s="10">
        <v>0.364</v>
      </c>
      <c r="R5" s="11">
        <f t="shared" si="4"/>
        <v>0.399</v>
      </c>
      <c r="S5" s="12">
        <f t="shared" si="5"/>
        <v>4.22769230769231</v>
      </c>
    </row>
    <row r="6" customHeight="1" spans="4:19">
      <c r="D6" s="9" t="s">
        <v>67</v>
      </c>
      <c r="E6" s="10">
        <v>0.5</v>
      </c>
      <c r="F6" s="10">
        <v>0.444</v>
      </c>
      <c r="G6" s="10">
        <v>0.4</v>
      </c>
      <c r="H6" s="11">
        <f t="shared" si="0"/>
        <v>0.448</v>
      </c>
      <c r="I6" s="12">
        <f t="shared" si="1"/>
        <v>4.37846153846154</v>
      </c>
      <c r="J6" s="11">
        <v>0.308</v>
      </c>
      <c r="K6" s="11">
        <v>0.667</v>
      </c>
      <c r="L6" s="11">
        <v>0.5</v>
      </c>
      <c r="M6" s="11">
        <f t="shared" si="2"/>
        <v>0.491666666666667</v>
      </c>
      <c r="N6" s="12">
        <f t="shared" si="3"/>
        <v>4.51282051282051</v>
      </c>
      <c r="O6" s="10">
        <v>0.423</v>
      </c>
      <c r="P6" s="10">
        <v>0.44</v>
      </c>
      <c r="Q6" s="10">
        <v>0.417</v>
      </c>
      <c r="R6" s="11">
        <f t="shared" si="4"/>
        <v>0.426666666666667</v>
      </c>
      <c r="S6" s="12">
        <f t="shared" si="5"/>
        <v>4.31282051282051</v>
      </c>
    </row>
    <row r="7" customHeight="1" spans="4:19">
      <c r="D7" s="9" t="s">
        <v>64</v>
      </c>
      <c r="E7" s="10">
        <v>0.667</v>
      </c>
      <c r="F7" s="10">
        <v>0.714</v>
      </c>
      <c r="G7" s="10">
        <v>0.733</v>
      </c>
      <c r="H7" s="11">
        <f t="shared" si="0"/>
        <v>0.704666666666667</v>
      </c>
      <c r="I7" s="12">
        <f t="shared" si="1"/>
        <v>5</v>
      </c>
      <c r="J7" s="11">
        <v>0.3</v>
      </c>
      <c r="K7" s="11">
        <v>0.3</v>
      </c>
      <c r="L7" s="11">
        <v>0.3</v>
      </c>
      <c r="M7" s="11">
        <f t="shared" si="2"/>
        <v>0.3</v>
      </c>
      <c r="N7" s="12">
        <f t="shared" si="3"/>
        <v>3.92307692307692</v>
      </c>
      <c r="O7" s="10">
        <v>0.24</v>
      </c>
      <c r="P7" s="10">
        <v>0.333</v>
      </c>
      <c r="Q7" s="10">
        <v>0.391</v>
      </c>
      <c r="R7" s="11">
        <f t="shared" si="4"/>
        <v>0.321333333333333</v>
      </c>
      <c r="S7" s="12">
        <f t="shared" si="5"/>
        <v>3.98871794871795</v>
      </c>
    </row>
    <row r="8" customHeight="1" spans="4:19">
      <c r="D8" s="9" t="s">
        <v>61</v>
      </c>
      <c r="E8" s="10">
        <v>0.611</v>
      </c>
      <c r="F8" s="10">
        <v>0.722</v>
      </c>
      <c r="G8" s="10">
        <v>0.667</v>
      </c>
      <c r="H8" s="11">
        <f t="shared" si="0"/>
        <v>0.666666666666667</v>
      </c>
      <c r="I8" s="12">
        <f t="shared" si="1"/>
        <v>5</v>
      </c>
      <c r="J8" s="11">
        <v>0.333</v>
      </c>
      <c r="K8" s="11">
        <v>0.333</v>
      </c>
      <c r="L8" s="11">
        <v>0.333</v>
      </c>
      <c r="M8" s="11">
        <f t="shared" si="2"/>
        <v>0.333</v>
      </c>
      <c r="N8" s="12">
        <f t="shared" si="3"/>
        <v>4.02461538461538</v>
      </c>
      <c r="O8" s="10">
        <v>0.423</v>
      </c>
      <c r="P8" s="10">
        <v>0.76</v>
      </c>
      <c r="Q8" s="10">
        <v>0.64</v>
      </c>
      <c r="R8" s="11">
        <f t="shared" si="4"/>
        <v>0.607666666666667</v>
      </c>
      <c r="S8" s="12">
        <f t="shared" si="5"/>
        <v>4.86974358974359</v>
      </c>
    </row>
    <row r="9" customHeight="1" spans="4:19">
      <c r="D9" s="9" t="s">
        <v>71</v>
      </c>
      <c r="E9" s="10">
        <v>0.909</v>
      </c>
      <c r="F9" s="10">
        <v>0.8</v>
      </c>
      <c r="G9" s="10">
        <v>1</v>
      </c>
      <c r="H9" s="11">
        <f t="shared" si="0"/>
        <v>0.903</v>
      </c>
      <c r="I9" s="12">
        <f t="shared" si="1"/>
        <v>5</v>
      </c>
      <c r="J9" s="11">
        <v>0.429</v>
      </c>
      <c r="K9" s="11">
        <v>0.286</v>
      </c>
      <c r="L9" s="11">
        <v>0.429</v>
      </c>
      <c r="M9" s="11">
        <f t="shared" si="2"/>
        <v>0.381333333333333</v>
      </c>
      <c r="N9" s="12">
        <f t="shared" si="3"/>
        <v>4.17333333333333</v>
      </c>
      <c r="O9" s="10">
        <v>0.286</v>
      </c>
      <c r="P9" s="10">
        <v>0.238</v>
      </c>
      <c r="Q9" s="10">
        <v>0.25</v>
      </c>
      <c r="R9" s="11">
        <f t="shared" si="4"/>
        <v>0.258</v>
      </c>
      <c r="S9" s="12">
        <f t="shared" si="5"/>
        <v>3.79384615384615</v>
      </c>
    </row>
    <row r="10" customHeight="1" spans="4:19">
      <c r="D10" s="9" t="s">
        <v>74</v>
      </c>
      <c r="E10" s="10">
        <v>0.438</v>
      </c>
      <c r="F10" s="10">
        <v>0.278</v>
      </c>
      <c r="G10" s="10">
        <v>0.316</v>
      </c>
      <c r="H10" s="11">
        <f t="shared" si="0"/>
        <v>0.344</v>
      </c>
      <c r="I10" s="12">
        <f t="shared" si="1"/>
        <v>4.05846153846154</v>
      </c>
      <c r="J10" s="11">
        <v>0.25</v>
      </c>
      <c r="K10" s="11">
        <v>0.125</v>
      </c>
      <c r="L10" s="11">
        <v>0.25</v>
      </c>
      <c r="M10" s="11">
        <f t="shared" si="2"/>
        <v>0.208333333333333</v>
      </c>
      <c r="N10" s="12">
        <f t="shared" si="3"/>
        <v>3.64102564102564</v>
      </c>
      <c r="O10" s="10">
        <v>0.321</v>
      </c>
      <c r="P10" s="10">
        <v>0.179</v>
      </c>
      <c r="Q10" s="10">
        <v>0.241</v>
      </c>
      <c r="R10" s="11">
        <f t="shared" si="4"/>
        <v>0.247</v>
      </c>
      <c r="S10" s="12">
        <f t="shared" si="5"/>
        <v>3.76</v>
      </c>
    </row>
    <row r="11" customHeight="1" spans="4:19">
      <c r="D11" s="9" t="s">
        <v>77</v>
      </c>
      <c r="E11" s="10">
        <v>0.467</v>
      </c>
      <c r="F11" s="10">
        <v>0.429</v>
      </c>
      <c r="G11" s="10">
        <v>0.375</v>
      </c>
      <c r="H11" s="11">
        <f t="shared" si="0"/>
        <v>0.423666666666667</v>
      </c>
      <c r="I11" s="12">
        <f t="shared" si="1"/>
        <v>4.30358974358974</v>
      </c>
      <c r="J11" s="11">
        <v>0</v>
      </c>
      <c r="K11" s="11">
        <v>0.125</v>
      </c>
      <c r="L11" s="11">
        <v>0.25</v>
      </c>
      <c r="M11" s="11">
        <f t="shared" si="2"/>
        <v>0.125</v>
      </c>
      <c r="N11" s="12">
        <f t="shared" si="3"/>
        <v>3</v>
      </c>
      <c r="O11" s="10">
        <v>0.2</v>
      </c>
      <c r="P11" s="10">
        <v>0.2</v>
      </c>
      <c r="Q11" s="10">
        <v>0.05</v>
      </c>
      <c r="R11" s="11">
        <f t="shared" si="4"/>
        <v>0.15</v>
      </c>
      <c r="S11" s="12">
        <f t="shared" si="5"/>
        <v>3.46153846153846</v>
      </c>
    </row>
    <row r="12" customHeight="1" spans="4:19">
      <c r="D12" s="9" t="s">
        <v>76</v>
      </c>
      <c r="E12" s="10">
        <v>0.6</v>
      </c>
      <c r="F12" s="10">
        <v>0.6</v>
      </c>
      <c r="G12" s="10">
        <v>0.6</v>
      </c>
      <c r="H12" s="11">
        <f t="shared" si="0"/>
        <v>0.6</v>
      </c>
      <c r="I12" s="12">
        <f t="shared" si="1"/>
        <v>4.84615384615385</v>
      </c>
      <c r="J12" s="11">
        <v>0</v>
      </c>
      <c r="K12" s="11">
        <v>0.5</v>
      </c>
      <c r="L12" s="11">
        <v>0</v>
      </c>
      <c r="M12" s="11">
        <f t="shared" si="2"/>
        <v>0.166666666666667</v>
      </c>
      <c r="N12" s="12">
        <f t="shared" si="3"/>
        <v>3.51282051282051</v>
      </c>
      <c r="O12" s="10">
        <v>0.25</v>
      </c>
      <c r="P12" s="10">
        <v>0.25</v>
      </c>
      <c r="Q12" s="10">
        <v>0.125</v>
      </c>
      <c r="R12" s="11">
        <f t="shared" si="4"/>
        <v>0.208333333333333</v>
      </c>
      <c r="S12" s="12">
        <f t="shared" si="5"/>
        <v>3.64102564102564</v>
      </c>
    </row>
    <row r="13" customHeight="1" spans="4:19">
      <c r="D13" s="9" t="s">
        <v>73</v>
      </c>
      <c r="E13" s="10">
        <v>0.667</v>
      </c>
      <c r="F13" s="10">
        <v>0.25</v>
      </c>
      <c r="G13" s="10">
        <v>0</v>
      </c>
      <c r="H13" s="11">
        <f t="shared" si="0"/>
        <v>0.305666666666667</v>
      </c>
      <c r="I13" s="12">
        <f t="shared" si="1"/>
        <v>3</v>
      </c>
      <c r="J13" s="11">
        <v>0</v>
      </c>
      <c r="K13" s="11">
        <v>1</v>
      </c>
      <c r="L13" s="11">
        <v>1</v>
      </c>
      <c r="M13" s="11">
        <f t="shared" si="2"/>
        <v>0.666666666666667</v>
      </c>
      <c r="N13" s="12">
        <f t="shared" si="3"/>
        <v>5</v>
      </c>
      <c r="O13" s="10">
        <v>0</v>
      </c>
      <c r="P13" s="10">
        <v>0</v>
      </c>
      <c r="Q13" s="10">
        <v>0</v>
      </c>
      <c r="R13" s="11">
        <f t="shared" si="4"/>
        <v>0</v>
      </c>
      <c r="S13" s="12">
        <f t="shared" si="5"/>
        <v>3</v>
      </c>
    </row>
    <row r="14" customHeight="1" spans="4:19">
      <c r="D14" s="13" t="s">
        <v>36</v>
      </c>
      <c r="E14" s="14">
        <v>0.537</v>
      </c>
      <c r="F14" s="14">
        <v>0.493</v>
      </c>
      <c r="G14" s="15">
        <v>0.5</v>
      </c>
      <c r="H14" s="11">
        <f t="shared" si="0"/>
        <v>0.51</v>
      </c>
      <c r="I14" s="12">
        <f>(H14/0.65*0.4+0.6)*5</f>
        <v>4.56923076923077</v>
      </c>
      <c r="J14" s="14">
        <v>0.253</v>
      </c>
      <c r="K14" s="14">
        <v>0.307</v>
      </c>
      <c r="L14" s="16">
        <v>0.311</v>
      </c>
      <c r="M14" s="11">
        <f t="shared" si="2"/>
        <v>0.290333333333333</v>
      </c>
      <c r="N14" s="12">
        <f>(M14/0.65*0.4+0.6)*5</f>
        <v>3.89333333333333</v>
      </c>
      <c r="O14" s="14">
        <v>0.344</v>
      </c>
      <c r="P14" s="14">
        <v>0.393</v>
      </c>
      <c r="Q14" s="14">
        <v>0.336</v>
      </c>
      <c r="R14" s="11">
        <f t="shared" si="4"/>
        <v>0.357666666666667</v>
      </c>
      <c r="S14" s="12">
        <f>(R14/0.65*0.4+0.6)*5</f>
        <v>4.10051282051282</v>
      </c>
    </row>
  </sheetData>
  <mergeCells count="4">
    <mergeCell ref="E1:R1"/>
    <mergeCell ref="E2:H2"/>
    <mergeCell ref="J2:M2"/>
    <mergeCell ref="O2:R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市场线</vt:lpstr>
      <vt:lpstr>二季度考核结果</vt:lpstr>
      <vt:lpstr>政企线</vt:lpstr>
      <vt:lpstr>网络线</vt:lpstr>
      <vt:lpstr>职能线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 </cp:lastModifiedBy>
  <dcterms:created xsi:type="dcterms:W3CDTF">2006-09-16T00:00:00Z</dcterms:created>
  <dcterms:modified xsi:type="dcterms:W3CDTF">2026-07-21T12:19:19Z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74BCAC4DC2D14BD8B0426A32FE78AADA_12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